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showInkAnnotation="0"/>
  <xr:revisionPtr revIDLastSave="49" documentId="8_{760A5BC3-0AC0-F44B-9555-CEC90FAE40B6}" xr6:coauthVersionLast="47" xr6:coauthVersionMax="47" xr10:uidLastSave="{6499E6B2-1CD3-4B08-9530-CF26BD2B0313}"/>
  <bookViews>
    <workbookView xWindow="0" yWindow="0" windowWidth="0" windowHeight="0" firstSheet="3" activeTab="5" xr2:uid="{00000000-000D-0000-FFFF-FFFF00000000}"/>
  </bookViews>
  <sheets>
    <sheet name="30-40摄氏度" sheetId="1" r:id="rId1"/>
    <sheet name="40-50摄氏度" sheetId="3" r:id="rId2"/>
    <sheet name="50-60摄氏度" sheetId="2" r:id="rId3"/>
    <sheet name="60-70摄氏度" sheetId="4" r:id="rId4"/>
    <sheet name="室温" sheetId="5" r:id="rId5"/>
    <sheet name="U随温度变化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2" i="6"/>
  <c r="D2" i="6"/>
  <c r="D3" i="6"/>
</calcChain>
</file>

<file path=xl/sharedStrings.xml><?xml version="1.0" encoding="utf-8"?>
<sst xmlns="http://schemas.openxmlformats.org/spreadsheetml/2006/main" count="18" uniqueCount="9">
  <si>
    <t>U</t>
  </si>
  <si>
    <t>I</t>
  </si>
  <si>
    <t>t=34.6摄氏度</t>
  </si>
  <si>
    <t>t=44.4摄氏度</t>
  </si>
  <si>
    <t>t=57.5摄氏度</t>
  </si>
  <si>
    <t>t=63.0摄氏度</t>
  </si>
  <si>
    <t>t=18.2摄氏度</t>
  </si>
  <si>
    <t>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</si>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</sst>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'30-40摄氏度'!$B$1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30813568414555914"/>
                  <c:y val="0.228971761027554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'30-40摄氏度'!$A$2:$A$22</c:f>
              <c:numCache>
                <c:formatCode>General</c:formatCode>
                <c:ptCount val="21"/>
                <c:pt idx="0">
                  <c:v>0.35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</c:numCache>
            </c:numRef>
          </c:xVal>
          <c:yVal>
            <c:numRef>
              <c:f>'30-40摄氏度'!$B$2:$B$22</c:f>
              <c:numCache>
                <c:formatCode>General</c:formatCode>
                <c:ptCount val="21"/>
                <c:pt idx="0">
                  <c:v>3.4000000000000002E-2</c:v>
                </c:pt>
                <c:pt idx="1">
                  <c:v>5.5E-2</c:v>
                </c:pt>
                <c:pt idx="2">
                  <c:v>8.1000000000000003E-2</c:v>
                </c:pt>
                <c:pt idx="3">
                  <c:v>0.11700000000000001</c:v>
                </c:pt>
                <c:pt idx="4">
                  <c:v>0.17</c:v>
                </c:pt>
                <c:pt idx="5">
                  <c:v>0.24199999999999999</c:v>
                </c:pt>
                <c:pt idx="6">
                  <c:v>0.34300000000000003</c:v>
                </c:pt>
                <c:pt idx="7">
                  <c:v>0.49</c:v>
                </c:pt>
                <c:pt idx="8">
                  <c:v>0.77800000000000002</c:v>
                </c:pt>
                <c:pt idx="9">
                  <c:v>1.1000000000000001</c:v>
                </c:pt>
                <c:pt idx="10">
                  <c:v>1.55</c:v>
                </c:pt>
                <c:pt idx="11">
                  <c:v>2.2599999999999998</c:v>
                </c:pt>
                <c:pt idx="12">
                  <c:v>3.23</c:v>
                </c:pt>
                <c:pt idx="13">
                  <c:v>4.6900000000000004</c:v>
                </c:pt>
                <c:pt idx="14">
                  <c:v>7.12</c:v>
                </c:pt>
                <c:pt idx="15">
                  <c:v>10.199999999999999</c:v>
                </c:pt>
                <c:pt idx="16">
                  <c:v>15</c:v>
                </c:pt>
                <c:pt idx="17">
                  <c:v>21.7</c:v>
                </c:pt>
                <c:pt idx="18">
                  <c:v>31</c:v>
                </c:pt>
                <c:pt idx="19">
                  <c:v>44.1</c:v>
                </c:pt>
                <c:pt idx="20">
                  <c:v>63.9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0-C644-86EE-D5684D573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129103"/>
        <c:axId val="236565519"/>
      </c:scatterChart>
      <c:valAx>
        <c:axId val="237129103"/>
        <c:scaling>
          <c:orientation val="minMax"/>
          <c:min val="0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6565519"/>
        <c:crosses val="autoZero"/>
        <c:crossBetween val="midCat"/>
      </c:valAx>
      <c:valAx>
        <c:axId val="23656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I/</a:t>
                </a:r>
                <a:r>
                  <a:rPr lang="el-GR" altLang="ja-JP"/>
                  <a:t>μ</a:t>
                </a:r>
                <a:r>
                  <a:rPr lang="en-US" altLang="ja-JP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12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'40-50摄氏度'!$B$1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3352070146303302"/>
                  <c:y val="0.49994001469639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'40-50摄氏度'!$A$2:$A$22</c:f>
              <c:numCache>
                <c:formatCode>General</c:formatCode>
                <c:ptCount val="21"/>
                <c:pt idx="0">
                  <c:v>0.35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</c:numCache>
            </c:numRef>
          </c:xVal>
          <c:yVal>
            <c:numRef>
              <c:f>'40-50摄氏度'!$B$2:$B$22</c:f>
              <c:numCache>
                <c:formatCode>General</c:formatCode>
                <c:ptCount val="21"/>
                <c:pt idx="0">
                  <c:v>0.106</c:v>
                </c:pt>
                <c:pt idx="1">
                  <c:v>0.14599999999999999</c:v>
                </c:pt>
                <c:pt idx="2">
                  <c:v>0.20899999999999999</c:v>
                </c:pt>
                <c:pt idx="3">
                  <c:v>0.32700000000000001</c:v>
                </c:pt>
                <c:pt idx="4">
                  <c:v>0.47</c:v>
                </c:pt>
                <c:pt idx="5">
                  <c:v>0.65100000000000002</c:v>
                </c:pt>
                <c:pt idx="6">
                  <c:v>0.90400000000000003</c:v>
                </c:pt>
                <c:pt idx="7">
                  <c:v>1.35</c:v>
                </c:pt>
                <c:pt idx="8">
                  <c:v>1.87</c:v>
                </c:pt>
                <c:pt idx="9">
                  <c:v>2.71</c:v>
                </c:pt>
                <c:pt idx="10">
                  <c:v>3.84</c:v>
                </c:pt>
                <c:pt idx="11">
                  <c:v>5.61</c:v>
                </c:pt>
                <c:pt idx="12">
                  <c:v>8.3699999999999992</c:v>
                </c:pt>
                <c:pt idx="13">
                  <c:v>11.9</c:v>
                </c:pt>
                <c:pt idx="14">
                  <c:v>16.899999999999999</c:v>
                </c:pt>
                <c:pt idx="15">
                  <c:v>23.9</c:v>
                </c:pt>
                <c:pt idx="16">
                  <c:v>34.4</c:v>
                </c:pt>
                <c:pt idx="17">
                  <c:v>48.8</c:v>
                </c:pt>
                <c:pt idx="18">
                  <c:v>70.7</c:v>
                </c:pt>
                <c:pt idx="19">
                  <c:v>103.2</c:v>
                </c:pt>
                <c:pt idx="20">
                  <c:v>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1-AF48-AFC2-407B88610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55407"/>
        <c:axId val="240520015"/>
      </c:scatterChart>
      <c:valAx>
        <c:axId val="240555407"/>
        <c:scaling>
          <c:orientation val="minMax"/>
          <c:min val="0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20015"/>
        <c:crosses val="autoZero"/>
        <c:crossBetween val="midCat"/>
      </c:valAx>
      <c:valAx>
        <c:axId val="240520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I/</a:t>
                </a:r>
                <a:r>
                  <a:rPr lang="el-GR" altLang="ja-JP"/>
                  <a:t>μ</a:t>
                </a:r>
                <a:r>
                  <a:rPr lang="en-US" altLang="ja-JP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5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'50-60摄氏度'!$B$1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21246108518860177"/>
                  <c:y val="0.22679028142568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'50-60摄氏度'!$A$2:$A$22</c:f>
              <c:numCache>
                <c:formatCode>General</c:formatCode>
                <c:ptCount val="21"/>
                <c:pt idx="0">
                  <c:v>0.35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</c:numCache>
            </c:numRef>
          </c:xVal>
          <c:yVal>
            <c:numRef>
              <c:f>'50-60摄氏度'!$B$2:$B$22</c:f>
              <c:numCache>
                <c:formatCode>General</c:formatCode>
                <c:ptCount val="21"/>
                <c:pt idx="0">
                  <c:v>0.46300000000000002</c:v>
                </c:pt>
                <c:pt idx="1">
                  <c:v>0.65100000000000002</c:v>
                </c:pt>
                <c:pt idx="2">
                  <c:v>0.89600000000000002</c:v>
                </c:pt>
                <c:pt idx="3">
                  <c:v>1.31</c:v>
                </c:pt>
                <c:pt idx="4">
                  <c:v>1.82</c:v>
                </c:pt>
                <c:pt idx="5">
                  <c:v>2.61</c:v>
                </c:pt>
                <c:pt idx="6">
                  <c:v>3.7</c:v>
                </c:pt>
                <c:pt idx="7">
                  <c:v>5.05</c:v>
                </c:pt>
                <c:pt idx="8">
                  <c:v>7.06</c:v>
                </c:pt>
                <c:pt idx="9">
                  <c:v>9.7799999999999994</c:v>
                </c:pt>
                <c:pt idx="10">
                  <c:v>14.6</c:v>
                </c:pt>
                <c:pt idx="11">
                  <c:v>20.399999999999999</c:v>
                </c:pt>
                <c:pt idx="12">
                  <c:v>28.1</c:v>
                </c:pt>
                <c:pt idx="13">
                  <c:v>39.700000000000003</c:v>
                </c:pt>
                <c:pt idx="14">
                  <c:v>55.4</c:v>
                </c:pt>
                <c:pt idx="15">
                  <c:v>81.2</c:v>
                </c:pt>
                <c:pt idx="16">
                  <c:v>113</c:v>
                </c:pt>
                <c:pt idx="17">
                  <c:v>158</c:v>
                </c:pt>
                <c:pt idx="18">
                  <c:v>217</c:v>
                </c:pt>
                <c:pt idx="19">
                  <c:v>309</c:v>
                </c:pt>
                <c:pt idx="20">
                  <c:v>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2-DC43-9509-669C899C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55407"/>
        <c:axId val="240520015"/>
      </c:scatterChart>
      <c:valAx>
        <c:axId val="240555407"/>
        <c:scaling>
          <c:orientation val="minMax"/>
          <c:min val="0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20015"/>
        <c:crosses val="autoZero"/>
        <c:crossBetween val="midCat"/>
      </c:valAx>
      <c:valAx>
        <c:axId val="240520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I/</a:t>
                </a:r>
                <a:r>
                  <a:rPr lang="el-GR" altLang="ja-JP"/>
                  <a:t>μ</a:t>
                </a:r>
                <a:r>
                  <a:rPr lang="en-US" altLang="ja-JP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5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'60-70摄氏度'!$B$1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31122046336019532"/>
                  <c:y val="0.1877866280473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'60-70摄氏度'!$A$2:$A$22</c:f>
              <c:numCache>
                <c:formatCode>General</c:formatCode>
                <c:ptCount val="21"/>
                <c:pt idx="0">
                  <c:v>0.35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</c:numCache>
            </c:numRef>
          </c:xVal>
          <c:yVal>
            <c:numRef>
              <c:f>'60-70摄氏度'!$B$2:$B$22</c:f>
              <c:numCache>
                <c:formatCode>General</c:formatCode>
                <c:ptCount val="21"/>
                <c:pt idx="0">
                  <c:v>0.66900000000000004</c:v>
                </c:pt>
                <c:pt idx="1">
                  <c:v>0.93600000000000005</c:v>
                </c:pt>
                <c:pt idx="2">
                  <c:v>1.34</c:v>
                </c:pt>
                <c:pt idx="3">
                  <c:v>1.93</c:v>
                </c:pt>
                <c:pt idx="4">
                  <c:v>2.71</c:v>
                </c:pt>
                <c:pt idx="5">
                  <c:v>3.72</c:v>
                </c:pt>
                <c:pt idx="6">
                  <c:v>5.2</c:v>
                </c:pt>
                <c:pt idx="7">
                  <c:v>7.12</c:v>
                </c:pt>
                <c:pt idx="8">
                  <c:v>10.3</c:v>
                </c:pt>
                <c:pt idx="9">
                  <c:v>15</c:v>
                </c:pt>
                <c:pt idx="10">
                  <c:v>20.9</c:v>
                </c:pt>
                <c:pt idx="11">
                  <c:v>29.3</c:v>
                </c:pt>
                <c:pt idx="12">
                  <c:v>41.4</c:v>
                </c:pt>
                <c:pt idx="13">
                  <c:v>58</c:v>
                </c:pt>
                <c:pt idx="14">
                  <c:v>83.5</c:v>
                </c:pt>
                <c:pt idx="15">
                  <c:v>114</c:v>
                </c:pt>
                <c:pt idx="16">
                  <c:v>163</c:v>
                </c:pt>
                <c:pt idx="17">
                  <c:v>226</c:v>
                </c:pt>
                <c:pt idx="18">
                  <c:v>317</c:v>
                </c:pt>
                <c:pt idx="19">
                  <c:v>444</c:v>
                </c:pt>
                <c:pt idx="20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F3-474C-861B-58F8FC443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55407"/>
        <c:axId val="240520015"/>
      </c:scatterChart>
      <c:valAx>
        <c:axId val="240555407"/>
        <c:scaling>
          <c:orientation val="minMax"/>
          <c:min val="0.3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20015"/>
        <c:crosses val="autoZero"/>
        <c:crossBetween val="midCat"/>
      </c:valAx>
      <c:valAx>
        <c:axId val="2405200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5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室温!$B$1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室温!$A$2:$A$22</c:f>
              <c:numCache>
                <c:formatCode>General</c:formatCode>
                <c:ptCount val="21"/>
                <c:pt idx="0">
                  <c:v>0.35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</c:numCache>
            </c:numRef>
          </c:xVal>
          <c:yVal>
            <c:numRef>
              <c:f>室温!$B$2:$B$22</c:f>
              <c:numCache>
                <c:formatCode>General</c:formatCode>
                <c:ptCount val="21"/>
                <c:pt idx="0">
                  <c:v>4.0000000000000001E-3</c:v>
                </c:pt>
                <c:pt idx="1">
                  <c:v>7.0000000000000001E-3</c:v>
                </c:pt>
                <c:pt idx="2">
                  <c:v>1.0999999999999999E-2</c:v>
                </c:pt>
                <c:pt idx="3">
                  <c:v>1.7999999999999999E-2</c:v>
                </c:pt>
                <c:pt idx="4">
                  <c:v>2.8000000000000001E-2</c:v>
                </c:pt>
                <c:pt idx="5">
                  <c:v>4.2000000000000003E-2</c:v>
                </c:pt>
                <c:pt idx="6">
                  <c:v>6.4000000000000001E-2</c:v>
                </c:pt>
                <c:pt idx="7">
                  <c:v>9.6000000000000002E-2</c:v>
                </c:pt>
                <c:pt idx="8">
                  <c:v>0.14399999999999999</c:v>
                </c:pt>
                <c:pt idx="9">
                  <c:v>0.21199999999999999</c:v>
                </c:pt>
                <c:pt idx="10">
                  <c:v>0.32300000000000001</c:v>
                </c:pt>
                <c:pt idx="11">
                  <c:v>0.47599999999999998</c:v>
                </c:pt>
                <c:pt idx="12">
                  <c:v>0.69399999999999995</c:v>
                </c:pt>
                <c:pt idx="13">
                  <c:v>1</c:v>
                </c:pt>
                <c:pt idx="14">
                  <c:v>1.47</c:v>
                </c:pt>
                <c:pt idx="15">
                  <c:v>2.17</c:v>
                </c:pt>
                <c:pt idx="16">
                  <c:v>3.15</c:v>
                </c:pt>
                <c:pt idx="17">
                  <c:v>4.68</c:v>
                </c:pt>
                <c:pt idx="18">
                  <c:v>6.97</c:v>
                </c:pt>
                <c:pt idx="19">
                  <c:v>10.210000000000001</c:v>
                </c:pt>
                <c:pt idx="20">
                  <c:v>15.2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A-A941-A62A-A9B70BD34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74767"/>
        <c:axId val="239162127"/>
      </c:scatterChart>
      <c:valAx>
        <c:axId val="23767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9162127"/>
        <c:crosses val="autoZero"/>
        <c:crossBetween val="midCat"/>
      </c:valAx>
      <c:valAx>
        <c:axId val="23916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67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U随温度变化!$C$1</c:f>
              <c:strCache>
                <c:ptCount val="1"/>
                <c:pt idx="0">
                  <c:v>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413569779743993"/>
                  <c:y val="3.64605230288468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U随温度变化!$A$2:$A$94</c:f>
              <c:numCache>
                <c:formatCode>General</c:formatCode>
                <c:ptCount val="93"/>
                <c:pt idx="0">
                  <c:v>18.5</c:v>
                </c:pt>
                <c:pt idx="1">
                  <c:v>19</c:v>
                </c:pt>
                <c:pt idx="2">
                  <c:v>19.5</c:v>
                </c:pt>
                <c:pt idx="3">
                  <c:v>20</c:v>
                </c:pt>
                <c:pt idx="4">
                  <c:v>20.5</c:v>
                </c:pt>
                <c:pt idx="5">
                  <c:v>21</c:v>
                </c:pt>
                <c:pt idx="6">
                  <c:v>21.5</c:v>
                </c:pt>
                <c:pt idx="7">
                  <c:v>22</c:v>
                </c:pt>
                <c:pt idx="8">
                  <c:v>22.5</c:v>
                </c:pt>
                <c:pt idx="9">
                  <c:v>23</c:v>
                </c:pt>
                <c:pt idx="10">
                  <c:v>23.5</c:v>
                </c:pt>
                <c:pt idx="11">
                  <c:v>24</c:v>
                </c:pt>
                <c:pt idx="12">
                  <c:v>24.5</c:v>
                </c:pt>
                <c:pt idx="13">
                  <c:v>25</c:v>
                </c:pt>
                <c:pt idx="14">
                  <c:v>25.5</c:v>
                </c:pt>
                <c:pt idx="15">
                  <c:v>26</c:v>
                </c:pt>
                <c:pt idx="16">
                  <c:v>26.5</c:v>
                </c:pt>
                <c:pt idx="17">
                  <c:v>27</c:v>
                </c:pt>
                <c:pt idx="18">
                  <c:v>27.5</c:v>
                </c:pt>
                <c:pt idx="19">
                  <c:v>28</c:v>
                </c:pt>
                <c:pt idx="20">
                  <c:v>28.5</c:v>
                </c:pt>
                <c:pt idx="21">
                  <c:v>29</c:v>
                </c:pt>
                <c:pt idx="22">
                  <c:v>29.5</c:v>
                </c:pt>
                <c:pt idx="23">
                  <c:v>30</c:v>
                </c:pt>
                <c:pt idx="24">
                  <c:v>30.5</c:v>
                </c:pt>
                <c:pt idx="25">
                  <c:v>31</c:v>
                </c:pt>
                <c:pt idx="26">
                  <c:v>31.5</c:v>
                </c:pt>
                <c:pt idx="27">
                  <c:v>32</c:v>
                </c:pt>
                <c:pt idx="28">
                  <c:v>32.5</c:v>
                </c:pt>
                <c:pt idx="29">
                  <c:v>33</c:v>
                </c:pt>
                <c:pt idx="30">
                  <c:v>33.5</c:v>
                </c:pt>
                <c:pt idx="31">
                  <c:v>34</c:v>
                </c:pt>
                <c:pt idx="32">
                  <c:v>34.5</c:v>
                </c:pt>
                <c:pt idx="33">
                  <c:v>35</c:v>
                </c:pt>
                <c:pt idx="34">
                  <c:v>35.5</c:v>
                </c:pt>
                <c:pt idx="35">
                  <c:v>36</c:v>
                </c:pt>
                <c:pt idx="36">
                  <c:v>36.5</c:v>
                </c:pt>
                <c:pt idx="37">
                  <c:v>37</c:v>
                </c:pt>
                <c:pt idx="38">
                  <c:v>37.5</c:v>
                </c:pt>
                <c:pt idx="39">
                  <c:v>38</c:v>
                </c:pt>
                <c:pt idx="40">
                  <c:v>38.5</c:v>
                </c:pt>
                <c:pt idx="41">
                  <c:v>39</c:v>
                </c:pt>
                <c:pt idx="42">
                  <c:v>39.5</c:v>
                </c:pt>
                <c:pt idx="43">
                  <c:v>40</c:v>
                </c:pt>
                <c:pt idx="44">
                  <c:v>40.5</c:v>
                </c:pt>
                <c:pt idx="45">
                  <c:v>41</c:v>
                </c:pt>
                <c:pt idx="46">
                  <c:v>41.5</c:v>
                </c:pt>
                <c:pt idx="47">
                  <c:v>42</c:v>
                </c:pt>
                <c:pt idx="48">
                  <c:v>42.5</c:v>
                </c:pt>
                <c:pt idx="49">
                  <c:v>43</c:v>
                </c:pt>
                <c:pt idx="50">
                  <c:v>43.5</c:v>
                </c:pt>
                <c:pt idx="51">
                  <c:v>44</c:v>
                </c:pt>
                <c:pt idx="52">
                  <c:v>44.5</c:v>
                </c:pt>
                <c:pt idx="53">
                  <c:v>45</c:v>
                </c:pt>
                <c:pt idx="54">
                  <c:v>45.5</c:v>
                </c:pt>
                <c:pt idx="55">
                  <c:v>46</c:v>
                </c:pt>
                <c:pt idx="56">
                  <c:v>46.5</c:v>
                </c:pt>
                <c:pt idx="57">
                  <c:v>47</c:v>
                </c:pt>
                <c:pt idx="58">
                  <c:v>47.5</c:v>
                </c:pt>
                <c:pt idx="59">
                  <c:v>48</c:v>
                </c:pt>
                <c:pt idx="60">
                  <c:v>48.5</c:v>
                </c:pt>
                <c:pt idx="61">
                  <c:v>49</c:v>
                </c:pt>
                <c:pt idx="62">
                  <c:v>49.5</c:v>
                </c:pt>
                <c:pt idx="63">
                  <c:v>50</c:v>
                </c:pt>
                <c:pt idx="64">
                  <c:v>50.5</c:v>
                </c:pt>
                <c:pt idx="65">
                  <c:v>51</c:v>
                </c:pt>
                <c:pt idx="66">
                  <c:v>51.5</c:v>
                </c:pt>
                <c:pt idx="67">
                  <c:v>52</c:v>
                </c:pt>
                <c:pt idx="68">
                  <c:v>52.5</c:v>
                </c:pt>
                <c:pt idx="69">
                  <c:v>53</c:v>
                </c:pt>
                <c:pt idx="70">
                  <c:v>53.5</c:v>
                </c:pt>
                <c:pt idx="71">
                  <c:v>54</c:v>
                </c:pt>
                <c:pt idx="72">
                  <c:v>54.5</c:v>
                </c:pt>
                <c:pt idx="73">
                  <c:v>55</c:v>
                </c:pt>
                <c:pt idx="74">
                  <c:v>55.5</c:v>
                </c:pt>
                <c:pt idx="75">
                  <c:v>56</c:v>
                </c:pt>
                <c:pt idx="76">
                  <c:v>56.5</c:v>
                </c:pt>
                <c:pt idx="77">
                  <c:v>57</c:v>
                </c:pt>
                <c:pt idx="78">
                  <c:v>57.5</c:v>
                </c:pt>
                <c:pt idx="79">
                  <c:v>58</c:v>
                </c:pt>
                <c:pt idx="80">
                  <c:v>58.5</c:v>
                </c:pt>
                <c:pt idx="81">
                  <c:v>59</c:v>
                </c:pt>
                <c:pt idx="82">
                  <c:v>59.5</c:v>
                </c:pt>
                <c:pt idx="83">
                  <c:v>60</c:v>
                </c:pt>
                <c:pt idx="84">
                  <c:v>60.5</c:v>
                </c:pt>
                <c:pt idx="85">
                  <c:v>61</c:v>
                </c:pt>
                <c:pt idx="86">
                  <c:v>61.5</c:v>
                </c:pt>
                <c:pt idx="87">
                  <c:v>62</c:v>
                </c:pt>
                <c:pt idx="88">
                  <c:v>62.5</c:v>
                </c:pt>
                <c:pt idx="89">
                  <c:v>63</c:v>
                </c:pt>
                <c:pt idx="90">
                  <c:v>63.5</c:v>
                </c:pt>
                <c:pt idx="91">
                  <c:v>64</c:v>
                </c:pt>
                <c:pt idx="92">
                  <c:v>64.5</c:v>
                </c:pt>
              </c:numCache>
            </c:numRef>
          </c:xVal>
          <c:yVal>
            <c:numRef>
              <c:f>U随温度变化!$C$2:$C$94</c:f>
              <c:numCache>
                <c:formatCode>General</c:formatCode>
                <c:ptCount val="93"/>
                <c:pt idx="0">
                  <c:v>0.58399999999999996</c:v>
                </c:pt>
                <c:pt idx="1">
                  <c:v>0.58199999999999996</c:v>
                </c:pt>
                <c:pt idx="2">
                  <c:v>0.58099999999999996</c:v>
                </c:pt>
                <c:pt idx="3">
                  <c:v>0.57899999999999996</c:v>
                </c:pt>
                <c:pt idx="4">
                  <c:v>0.57799999999999996</c:v>
                </c:pt>
                <c:pt idx="5">
                  <c:v>0.57699999999999996</c:v>
                </c:pt>
                <c:pt idx="6">
                  <c:v>0.57599999999999996</c:v>
                </c:pt>
                <c:pt idx="7">
                  <c:v>0.57499999999999996</c:v>
                </c:pt>
                <c:pt idx="8">
                  <c:v>0.57299999999999995</c:v>
                </c:pt>
                <c:pt idx="9">
                  <c:v>0.57199999999999995</c:v>
                </c:pt>
                <c:pt idx="10">
                  <c:v>0.57099999999999995</c:v>
                </c:pt>
                <c:pt idx="11">
                  <c:v>0.56999999999999995</c:v>
                </c:pt>
                <c:pt idx="12">
                  <c:v>0.56799999999999995</c:v>
                </c:pt>
                <c:pt idx="13">
                  <c:v>0.56699999999999995</c:v>
                </c:pt>
                <c:pt idx="14">
                  <c:v>0.56599999999999995</c:v>
                </c:pt>
                <c:pt idx="15">
                  <c:v>0.56499999999999995</c:v>
                </c:pt>
                <c:pt idx="16">
                  <c:v>0.56299999999999994</c:v>
                </c:pt>
                <c:pt idx="17">
                  <c:v>0.56200000000000006</c:v>
                </c:pt>
                <c:pt idx="18">
                  <c:v>0.56100000000000005</c:v>
                </c:pt>
                <c:pt idx="19">
                  <c:v>0.56000000000000005</c:v>
                </c:pt>
                <c:pt idx="20">
                  <c:v>0.55800000000000005</c:v>
                </c:pt>
                <c:pt idx="21">
                  <c:v>0.55700000000000005</c:v>
                </c:pt>
                <c:pt idx="22">
                  <c:v>0.55600000000000005</c:v>
                </c:pt>
                <c:pt idx="23">
                  <c:v>0.55500000000000005</c:v>
                </c:pt>
                <c:pt idx="24">
                  <c:v>0.55400000000000005</c:v>
                </c:pt>
                <c:pt idx="25">
                  <c:v>0.55200000000000005</c:v>
                </c:pt>
                <c:pt idx="26">
                  <c:v>0.55100000000000005</c:v>
                </c:pt>
                <c:pt idx="27">
                  <c:v>0.55000000000000004</c:v>
                </c:pt>
                <c:pt idx="28">
                  <c:v>0.54900000000000004</c:v>
                </c:pt>
                <c:pt idx="29">
                  <c:v>0.54800000000000004</c:v>
                </c:pt>
                <c:pt idx="30">
                  <c:v>0.54600000000000004</c:v>
                </c:pt>
                <c:pt idx="31">
                  <c:v>0.54500000000000004</c:v>
                </c:pt>
                <c:pt idx="32">
                  <c:v>0.54400000000000004</c:v>
                </c:pt>
                <c:pt idx="33">
                  <c:v>0.54300000000000004</c:v>
                </c:pt>
                <c:pt idx="34">
                  <c:v>0.54100000000000004</c:v>
                </c:pt>
                <c:pt idx="35">
                  <c:v>0.54</c:v>
                </c:pt>
                <c:pt idx="36">
                  <c:v>0.53900000000000003</c:v>
                </c:pt>
                <c:pt idx="37">
                  <c:v>0.53800000000000003</c:v>
                </c:pt>
                <c:pt idx="38">
                  <c:v>0.53700000000000003</c:v>
                </c:pt>
                <c:pt idx="39">
                  <c:v>0.53500000000000003</c:v>
                </c:pt>
                <c:pt idx="40">
                  <c:v>0.53400000000000003</c:v>
                </c:pt>
                <c:pt idx="41">
                  <c:v>0.53300000000000003</c:v>
                </c:pt>
                <c:pt idx="42">
                  <c:v>0.53200000000000003</c:v>
                </c:pt>
                <c:pt idx="43">
                  <c:v>0.53100000000000003</c:v>
                </c:pt>
                <c:pt idx="44">
                  <c:v>0.52900000000000003</c:v>
                </c:pt>
                <c:pt idx="45">
                  <c:v>0.52800000000000002</c:v>
                </c:pt>
                <c:pt idx="46">
                  <c:v>0.52700000000000002</c:v>
                </c:pt>
                <c:pt idx="47">
                  <c:v>0.52600000000000002</c:v>
                </c:pt>
                <c:pt idx="48">
                  <c:v>0.52500000000000002</c:v>
                </c:pt>
                <c:pt idx="49">
                  <c:v>0.52300000000000002</c:v>
                </c:pt>
                <c:pt idx="50">
                  <c:v>0.52200000000000002</c:v>
                </c:pt>
                <c:pt idx="51">
                  <c:v>0.52100000000000002</c:v>
                </c:pt>
                <c:pt idx="52">
                  <c:v>0.52</c:v>
                </c:pt>
                <c:pt idx="53">
                  <c:v>0.51800000000000002</c:v>
                </c:pt>
                <c:pt idx="54">
                  <c:v>0.51700000000000002</c:v>
                </c:pt>
                <c:pt idx="55">
                  <c:v>0.51600000000000001</c:v>
                </c:pt>
                <c:pt idx="56">
                  <c:v>0.51400000000000001</c:v>
                </c:pt>
                <c:pt idx="57">
                  <c:v>0.51300000000000001</c:v>
                </c:pt>
                <c:pt idx="58">
                  <c:v>0.51200000000000001</c:v>
                </c:pt>
                <c:pt idx="59">
                  <c:v>0.51100000000000001</c:v>
                </c:pt>
                <c:pt idx="60">
                  <c:v>0.50900000000000001</c:v>
                </c:pt>
                <c:pt idx="61">
                  <c:v>0.50800000000000001</c:v>
                </c:pt>
                <c:pt idx="62">
                  <c:v>0.50700000000000001</c:v>
                </c:pt>
                <c:pt idx="63">
                  <c:v>0.50600000000000001</c:v>
                </c:pt>
                <c:pt idx="64">
                  <c:v>0.504</c:v>
                </c:pt>
                <c:pt idx="65">
                  <c:v>0.503</c:v>
                </c:pt>
                <c:pt idx="66">
                  <c:v>0.502</c:v>
                </c:pt>
                <c:pt idx="67">
                  <c:v>0.501</c:v>
                </c:pt>
                <c:pt idx="68">
                  <c:v>0.5</c:v>
                </c:pt>
                <c:pt idx="69">
                  <c:v>0.498</c:v>
                </c:pt>
                <c:pt idx="70">
                  <c:v>0.497</c:v>
                </c:pt>
                <c:pt idx="71">
                  <c:v>0.496</c:v>
                </c:pt>
                <c:pt idx="72">
                  <c:v>0.495</c:v>
                </c:pt>
                <c:pt idx="73">
                  <c:v>0.49299999999999999</c:v>
                </c:pt>
                <c:pt idx="74">
                  <c:v>0.49199999999999999</c:v>
                </c:pt>
                <c:pt idx="75">
                  <c:v>0.49099999999999999</c:v>
                </c:pt>
                <c:pt idx="76">
                  <c:v>0.49</c:v>
                </c:pt>
                <c:pt idx="77">
                  <c:v>0.48799999999999999</c:v>
                </c:pt>
                <c:pt idx="78">
                  <c:v>0.48699999999999999</c:v>
                </c:pt>
                <c:pt idx="79">
                  <c:v>0.48599999999999999</c:v>
                </c:pt>
                <c:pt idx="80">
                  <c:v>0.48499999999999999</c:v>
                </c:pt>
                <c:pt idx="81">
                  <c:v>0.48299999999999998</c:v>
                </c:pt>
                <c:pt idx="82">
                  <c:v>0.48199999999999998</c:v>
                </c:pt>
                <c:pt idx="83">
                  <c:v>0.48099999999999998</c:v>
                </c:pt>
                <c:pt idx="84">
                  <c:v>0.48</c:v>
                </c:pt>
                <c:pt idx="85">
                  <c:v>0.47899999999999998</c:v>
                </c:pt>
                <c:pt idx="86">
                  <c:v>0.47699999999999998</c:v>
                </c:pt>
                <c:pt idx="87">
                  <c:v>0.47499999999999998</c:v>
                </c:pt>
                <c:pt idx="88">
                  <c:v>0.47499999999999998</c:v>
                </c:pt>
                <c:pt idx="89">
                  <c:v>0.47299999999999998</c:v>
                </c:pt>
                <c:pt idx="90">
                  <c:v>0.47199999999999998</c:v>
                </c:pt>
                <c:pt idx="91">
                  <c:v>0.47099999999999997</c:v>
                </c:pt>
                <c:pt idx="92">
                  <c:v>0.46899999999999997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EB-7240-936C-1683C3256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716239"/>
        <c:axId val="240696975"/>
      </c:scatterChart>
      <c:valAx>
        <c:axId val="240716239"/>
        <c:scaling>
          <c:orientation val="minMax"/>
          <c:max val="65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696975"/>
        <c:crosses val="autoZero"/>
        <c:crossBetween val="midCat"/>
      </c:valAx>
      <c:valAx>
        <c:axId val="240696975"/>
        <c:scaling>
          <c:orientation val="minMax"/>
          <c:min val="0.45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71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1066523</xdr:colOff>
      <xdr:row>2</xdr:row>
      <xdr:rowOff>102302</xdr:rowOff>
    </xdr:from>
    <xdr:to>
      <xdr:col>11</xdr:col>
      <xdr:colOff>254268</xdr:colOff>
      <xdr:row>24</xdr:row>
      <xdr:rowOff>39248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1A456DFB-AB48-C1BD-2067-04B0610B5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511772</xdr:colOff>
      <xdr:row>0</xdr:row>
      <xdr:rowOff>93233</xdr:rowOff>
    </xdr:from>
    <xdr:to>
      <xdr:col>11</xdr:col>
      <xdr:colOff>353208</xdr:colOff>
      <xdr:row>22</xdr:row>
      <xdr:rowOff>55581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148A76-8F71-F04B-9EA7-2F7F40D01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213728</xdr:colOff>
      <xdr:row>0</xdr:row>
      <xdr:rowOff>0</xdr:rowOff>
    </xdr:from>
    <xdr:to>
      <xdr:col>13</xdr:col>
      <xdr:colOff>80681</xdr:colOff>
      <xdr:row>23</xdr:row>
      <xdr:rowOff>62752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F995536-D87B-69F2-7CEF-FF67261DB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225801</xdr:colOff>
      <xdr:row>0</xdr:row>
      <xdr:rowOff>96822</xdr:rowOff>
    </xdr:from>
    <xdr:to>
      <xdr:col>11</xdr:col>
      <xdr:colOff>375621</xdr:colOff>
      <xdr:row>22</xdr:row>
      <xdr:rowOff>128196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C70FB69-B306-4948-8A00-7682491CD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963143</xdr:colOff>
      <xdr:row>0</xdr:row>
      <xdr:rowOff>150607</xdr:rowOff>
    </xdr:from>
    <xdr:to>
      <xdr:col>13</xdr:col>
      <xdr:colOff>116316</xdr:colOff>
      <xdr:row>23</xdr:row>
      <xdr:rowOff>38324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1BD2AE-86B9-0DD2-A12C-6A9FC3CD9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310962</xdr:colOff>
      <xdr:row>1</xdr:row>
      <xdr:rowOff>112618</xdr:rowOff>
    </xdr:from>
    <xdr:to>
      <xdr:col>13</xdr:col>
      <xdr:colOff>53788</xdr:colOff>
      <xdr:row>22</xdr:row>
      <xdr:rowOff>110937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8E994BF-D338-6ED4-0A11-54B19F6A2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FCDB-97C4-834E-BC8C-15ED391C641B}">
  <dimension ref="A1:C22"/>
  <sheetViews>
    <sheetView zoomScaleNormal="80" zoomScaleSheetLayoutView="100" workbookViewId="0">
      <selection activeCell="M10" sqref="M10"/>
    </sheetView>
  </sheetViews>
  <sheetFormatPr defaultRowHeight="13.5"/>
  <cols>
    <col min="3" max="3" width="14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0.35</v>
      </c>
      <c r="B2">
        <v>3.4000000000000002E-2</v>
      </c>
    </row>
    <row r="3" spans="1:3">
      <c r="A3">
        <v>0.36</v>
      </c>
      <c r="B3">
        <v>5.5E-2</v>
      </c>
    </row>
    <row r="4" spans="1:3">
      <c r="A4">
        <v>0.37</v>
      </c>
      <c r="B4">
        <v>8.1000000000000003E-2</v>
      </c>
    </row>
    <row r="5" spans="1:3">
      <c r="A5">
        <v>0.38</v>
      </c>
      <c r="B5">
        <v>0.11700000000000001</v>
      </c>
    </row>
    <row r="6" spans="1:3">
      <c r="A6">
        <v>0.39</v>
      </c>
      <c r="B6">
        <v>0.17</v>
      </c>
    </row>
    <row r="7" spans="1:3">
      <c r="A7">
        <v>0.4</v>
      </c>
      <c r="B7">
        <v>0.24199999999999999</v>
      </c>
    </row>
    <row r="8" spans="1:3">
      <c r="A8">
        <v>0.41</v>
      </c>
      <c r="B8">
        <v>0.34300000000000003</v>
      </c>
    </row>
    <row r="9" spans="1:3">
      <c r="A9">
        <v>0.42</v>
      </c>
      <c r="B9">
        <v>0.49</v>
      </c>
    </row>
    <row r="10" spans="1:3">
      <c r="A10">
        <v>0.43</v>
      </c>
      <c r="B10">
        <v>0.77800000000000002</v>
      </c>
    </row>
    <row r="11" spans="1:3">
      <c r="A11">
        <v>0.44</v>
      </c>
      <c r="B11">
        <v>1.1000000000000001</v>
      </c>
    </row>
    <row r="12" spans="1:3">
      <c r="A12">
        <v>0.45</v>
      </c>
      <c r="B12">
        <v>1.55</v>
      </c>
    </row>
    <row r="13" spans="1:3">
      <c r="A13">
        <v>0.46</v>
      </c>
      <c r="B13">
        <v>2.2599999999999998</v>
      </c>
    </row>
    <row r="14" spans="1:3">
      <c r="A14">
        <v>0.47</v>
      </c>
      <c r="B14">
        <v>3.23</v>
      </c>
    </row>
    <row r="15" spans="1:3">
      <c r="A15">
        <v>0.48</v>
      </c>
      <c r="B15">
        <v>4.6900000000000004</v>
      </c>
    </row>
    <row r="16" spans="1:3">
      <c r="A16">
        <v>0.49</v>
      </c>
      <c r="B16">
        <v>7.12</v>
      </c>
    </row>
    <row r="17" spans="1:2">
      <c r="A17">
        <v>0.5</v>
      </c>
      <c r="B17">
        <v>10.199999999999999</v>
      </c>
    </row>
    <row r="18" spans="1:2">
      <c r="A18">
        <v>0.51</v>
      </c>
      <c r="B18">
        <v>15</v>
      </c>
    </row>
    <row r="19" spans="1:2">
      <c r="A19">
        <v>0.52</v>
      </c>
      <c r="B19">
        <v>21.7</v>
      </c>
    </row>
    <row r="20" spans="1:2">
      <c r="A20">
        <v>0.53</v>
      </c>
      <c r="B20">
        <v>31</v>
      </c>
    </row>
    <row r="21" spans="1:2">
      <c r="A21">
        <v>0.54</v>
      </c>
      <c r="B21">
        <v>44.1</v>
      </c>
    </row>
    <row r="22" spans="1:2">
      <c r="A22">
        <v>0.55000000000000004</v>
      </c>
      <c r="B22">
        <v>63.9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FB17-8190-3D44-B143-8268E5D04CAF}">
  <dimension ref="A1:C22"/>
  <sheetViews>
    <sheetView zoomScaleNormal="80" zoomScaleSheetLayoutView="100" workbookViewId="0">
      <selection activeCell="C14" sqref="C14"/>
    </sheetView>
  </sheetViews>
  <sheetFormatPr defaultRowHeight="13.5"/>
  <cols>
    <col min="3" max="3" width="13.5" customWidth="1"/>
  </cols>
  <sheetData>
    <row r="1" spans="1:3">
      <c r="A1" t="s">
        <v>0</v>
      </c>
      <c r="B1" t="s">
        <v>1</v>
      </c>
      <c r="C1" t="s">
        <v>3</v>
      </c>
    </row>
    <row r="2" spans="1:3">
      <c r="A2">
        <v>0.35</v>
      </c>
      <c r="B2">
        <v>0.106</v>
      </c>
    </row>
    <row r="3" spans="1:3">
      <c r="A3">
        <v>0.36</v>
      </c>
      <c r="B3">
        <v>0.14599999999999999</v>
      </c>
    </row>
    <row r="4" spans="1:3">
      <c r="A4">
        <v>0.37</v>
      </c>
      <c r="B4">
        <v>0.20899999999999999</v>
      </c>
    </row>
    <row r="5" spans="1:3">
      <c r="A5">
        <v>0.38</v>
      </c>
      <c r="B5">
        <v>0.32700000000000001</v>
      </c>
    </row>
    <row r="6" spans="1:3">
      <c r="A6">
        <v>0.39</v>
      </c>
      <c r="B6">
        <v>0.47</v>
      </c>
    </row>
    <row r="7" spans="1:3">
      <c r="A7">
        <v>0.4</v>
      </c>
      <c r="B7">
        <v>0.65100000000000002</v>
      </c>
    </row>
    <row r="8" spans="1:3">
      <c r="A8">
        <v>0.41</v>
      </c>
      <c r="B8">
        <v>0.90400000000000003</v>
      </c>
    </row>
    <row r="9" spans="1:3">
      <c r="A9">
        <v>0.42</v>
      </c>
      <c r="B9">
        <v>1.35</v>
      </c>
    </row>
    <row r="10" spans="1:3">
      <c r="A10">
        <v>0.43</v>
      </c>
      <c r="B10">
        <v>1.87</v>
      </c>
    </row>
    <row r="11" spans="1:3">
      <c r="A11">
        <v>0.44</v>
      </c>
      <c r="B11">
        <v>2.71</v>
      </c>
    </row>
    <row r="12" spans="1:3">
      <c r="A12">
        <v>0.45</v>
      </c>
      <c r="B12">
        <v>3.84</v>
      </c>
    </row>
    <row r="13" spans="1:3">
      <c r="A13">
        <v>0.46</v>
      </c>
      <c r="B13">
        <v>5.61</v>
      </c>
    </row>
    <row r="14" spans="1:3">
      <c r="A14">
        <v>0.47</v>
      </c>
      <c r="B14">
        <v>8.3699999999999992</v>
      </c>
    </row>
    <row r="15" spans="1:3">
      <c r="A15">
        <v>0.48</v>
      </c>
      <c r="B15">
        <v>11.9</v>
      </c>
    </row>
    <row r="16" spans="1:3">
      <c r="A16">
        <v>0.49</v>
      </c>
      <c r="B16">
        <v>16.899999999999999</v>
      </c>
    </row>
    <row r="17" spans="1:2">
      <c r="A17">
        <v>0.5</v>
      </c>
      <c r="B17">
        <v>23.9</v>
      </c>
    </row>
    <row r="18" spans="1:2">
      <c r="A18">
        <v>0.51</v>
      </c>
      <c r="B18">
        <v>34.4</v>
      </c>
    </row>
    <row r="19" spans="1:2">
      <c r="A19">
        <v>0.52</v>
      </c>
      <c r="B19">
        <v>48.8</v>
      </c>
    </row>
    <row r="20" spans="1:2">
      <c r="A20">
        <v>0.53</v>
      </c>
      <c r="B20">
        <v>70.7</v>
      </c>
    </row>
    <row r="21" spans="1:2">
      <c r="A21">
        <v>0.54</v>
      </c>
      <c r="B21">
        <v>103.2</v>
      </c>
    </row>
    <row r="22" spans="1:2">
      <c r="A22">
        <v>0.55000000000000004</v>
      </c>
      <c r="B22">
        <v>151</v>
      </c>
    </row>
  </sheetData>
  <phoneticPr fontId="1" alignment="center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733E-03FC-CD40-9E7D-3C6FC7598EA8}">
  <dimension ref="A1:C22"/>
  <sheetViews>
    <sheetView topLeftCell="B1" zoomScaleNormal="80" zoomScaleSheetLayoutView="100" workbookViewId="0">
      <selection activeCell="I27" sqref="I27"/>
    </sheetView>
  </sheetViews>
  <sheetFormatPr defaultRowHeight="13.5"/>
  <cols>
    <col min="3" max="3" width="13.625" customWidth="1"/>
  </cols>
  <sheetData>
    <row r="1" spans="1:3">
      <c r="A1" t="s">
        <v>0</v>
      </c>
      <c r="B1" t="s">
        <v>1</v>
      </c>
      <c r="C1" t="s">
        <v>4</v>
      </c>
    </row>
    <row r="2" spans="1:3">
      <c r="A2">
        <v>0.35</v>
      </c>
      <c r="B2">
        <v>0.46300000000000002</v>
      </c>
    </row>
    <row r="3" spans="1:3">
      <c r="A3">
        <v>0.36</v>
      </c>
      <c r="B3">
        <v>0.65100000000000002</v>
      </c>
    </row>
    <row r="4" spans="1:3">
      <c r="A4">
        <v>0.37</v>
      </c>
      <c r="B4">
        <v>0.89600000000000002</v>
      </c>
    </row>
    <row r="5" spans="1:3">
      <c r="A5">
        <v>0.38</v>
      </c>
      <c r="B5">
        <v>1.31</v>
      </c>
    </row>
    <row r="6" spans="1:3">
      <c r="A6">
        <v>0.39</v>
      </c>
      <c r="B6">
        <v>1.82</v>
      </c>
    </row>
    <row r="7" spans="1:3">
      <c r="A7">
        <v>0.4</v>
      </c>
      <c r="B7">
        <v>2.61</v>
      </c>
    </row>
    <row r="8" spans="1:3">
      <c r="A8">
        <v>0.41</v>
      </c>
      <c r="B8">
        <v>3.7</v>
      </c>
    </row>
    <row r="9" spans="1:3">
      <c r="A9">
        <v>0.42</v>
      </c>
      <c r="B9">
        <v>5.05</v>
      </c>
    </row>
    <row r="10" spans="1:3">
      <c r="A10">
        <v>0.43</v>
      </c>
      <c r="B10">
        <v>7.06</v>
      </c>
    </row>
    <row r="11" spans="1:3">
      <c r="A11">
        <v>0.44</v>
      </c>
      <c r="B11">
        <v>9.7799999999999994</v>
      </c>
    </row>
    <row r="12" spans="1:3">
      <c r="A12">
        <v>0.45</v>
      </c>
      <c r="B12">
        <v>14.6</v>
      </c>
    </row>
    <row r="13" spans="1:3">
      <c r="A13">
        <v>0.46</v>
      </c>
      <c r="B13">
        <v>20.399999999999999</v>
      </c>
    </row>
    <row r="14" spans="1:3">
      <c r="A14">
        <v>0.47</v>
      </c>
      <c r="B14">
        <v>28.1</v>
      </c>
    </row>
    <row r="15" spans="1:3">
      <c r="A15">
        <v>0.48</v>
      </c>
      <c r="B15">
        <v>39.700000000000003</v>
      </c>
    </row>
    <row r="16" spans="1:3">
      <c r="A16">
        <v>0.49</v>
      </c>
      <c r="B16">
        <v>55.4</v>
      </c>
    </row>
    <row r="17" spans="1:2">
      <c r="A17">
        <v>0.5</v>
      </c>
      <c r="B17">
        <v>81.2</v>
      </c>
    </row>
    <row r="18" spans="1:2">
      <c r="A18">
        <v>0.51</v>
      </c>
      <c r="B18">
        <v>113</v>
      </c>
    </row>
    <row r="19" spans="1:2">
      <c r="A19">
        <v>0.52</v>
      </c>
      <c r="B19">
        <v>158</v>
      </c>
    </row>
    <row r="20" spans="1:2">
      <c r="A20">
        <v>0.53</v>
      </c>
      <c r="B20">
        <v>217</v>
      </c>
    </row>
    <row r="21" spans="1:2">
      <c r="A21">
        <v>0.54</v>
      </c>
      <c r="B21">
        <v>309</v>
      </c>
    </row>
    <row r="22" spans="1:2">
      <c r="A22">
        <v>0.55000000000000004</v>
      </c>
      <c r="B22">
        <v>451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F1A0-9222-3D4F-ADA4-C711328B37A9}">
  <dimension ref="A1:C22"/>
  <sheetViews>
    <sheetView zoomScaleNormal="80" zoomScaleSheetLayoutView="100" workbookViewId="0">
      <selection activeCell="I34" sqref="I34"/>
    </sheetView>
  </sheetViews>
  <sheetFormatPr defaultRowHeight="13.5"/>
  <cols>
    <col min="3" max="3" width="13.5" customWidth="1"/>
  </cols>
  <sheetData>
    <row r="1" spans="1:3">
      <c r="A1" t="s">
        <v>0</v>
      </c>
      <c r="B1" t="s">
        <v>1</v>
      </c>
      <c r="C1" t="s">
        <v>5</v>
      </c>
    </row>
    <row r="2" spans="1:3">
      <c r="A2">
        <v>0.35</v>
      </c>
      <c r="B2">
        <v>0.66900000000000004</v>
      </c>
    </row>
    <row r="3" spans="1:3">
      <c r="A3">
        <v>0.36</v>
      </c>
      <c r="B3">
        <v>0.93600000000000005</v>
      </c>
    </row>
    <row r="4" spans="1:3">
      <c r="A4">
        <v>0.37</v>
      </c>
      <c r="B4">
        <v>1.34</v>
      </c>
    </row>
    <row r="5" spans="1:3">
      <c r="A5">
        <v>0.38</v>
      </c>
      <c r="B5">
        <v>1.93</v>
      </c>
    </row>
    <row r="6" spans="1:3">
      <c r="A6">
        <v>0.39</v>
      </c>
      <c r="B6">
        <v>2.71</v>
      </c>
    </row>
    <row r="7" spans="1:3">
      <c r="A7">
        <v>0.4</v>
      </c>
      <c r="B7">
        <v>3.72</v>
      </c>
    </row>
    <row r="8" spans="1:3">
      <c r="A8">
        <v>0.41</v>
      </c>
      <c r="B8">
        <v>5.2</v>
      </c>
    </row>
    <row r="9" spans="1:3">
      <c r="A9">
        <v>0.42</v>
      </c>
      <c r="B9">
        <v>7.12</v>
      </c>
    </row>
    <row r="10" spans="1:3">
      <c r="A10">
        <v>0.43</v>
      </c>
      <c r="B10">
        <v>10.3</v>
      </c>
    </row>
    <row r="11" spans="1:3">
      <c r="A11">
        <v>0.44</v>
      </c>
      <c r="B11">
        <v>15</v>
      </c>
    </row>
    <row r="12" spans="1:3">
      <c r="A12">
        <v>0.45</v>
      </c>
      <c r="B12">
        <v>20.9</v>
      </c>
    </row>
    <row r="13" spans="1:3">
      <c r="A13">
        <v>0.46</v>
      </c>
      <c r="B13">
        <v>29.3</v>
      </c>
    </row>
    <row r="14" spans="1:3">
      <c r="A14">
        <v>0.47</v>
      </c>
      <c r="B14">
        <v>41.4</v>
      </c>
    </row>
    <row r="15" spans="1:3">
      <c r="A15">
        <v>0.48</v>
      </c>
      <c r="B15">
        <v>58</v>
      </c>
    </row>
    <row r="16" spans="1:3">
      <c r="A16">
        <v>0.49</v>
      </c>
      <c r="B16">
        <v>83.5</v>
      </c>
    </row>
    <row r="17" spans="1:2">
      <c r="A17">
        <v>0.5</v>
      </c>
      <c r="B17">
        <v>114</v>
      </c>
    </row>
    <row r="18" spans="1:2">
      <c r="A18">
        <v>0.51</v>
      </c>
      <c r="B18">
        <v>163</v>
      </c>
    </row>
    <row r="19" spans="1:2">
      <c r="A19">
        <v>0.52</v>
      </c>
      <c r="B19">
        <v>226</v>
      </c>
    </row>
    <row r="20" spans="1:2">
      <c r="A20">
        <v>0.53</v>
      </c>
      <c r="B20">
        <v>317</v>
      </c>
    </row>
    <row r="21" spans="1:2">
      <c r="A21">
        <v>0.54</v>
      </c>
      <c r="B21">
        <v>444</v>
      </c>
    </row>
    <row r="22" spans="1:2">
      <c r="A22">
        <v>0.55000000000000004</v>
      </c>
      <c r="B22">
        <v>617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343A-4A8B-5E46-AB47-5F5FFB5BE0BB}">
  <dimension ref="A1:C22"/>
  <sheetViews>
    <sheetView zoomScaleNormal="80" zoomScaleSheetLayoutView="100" workbookViewId="0">
      <selection activeCell="N30" sqref="N30"/>
    </sheetView>
  </sheetViews>
  <sheetFormatPr defaultRowHeight="13.5"/>
  <cols>
    <col min="3" max="3" width="13.5" customWidth="1"/>
  </cols>
  <sheetData>
    <row r="1" spans="1:3">
      <c r="A1" t="s">
        <v>0</v>
      </c>
      <c r="B1" t="s">
        <v>1</v>
      </c>
      <c r="C1" t="s">
        <v>6</v>
      </c>
    </row>
    <row r="2" spans="1:3">
      <c r="A2">
        <v>0.35</v>
      </c>
      <c r="B2">
        <v>4.0000000000000001E-3</v>
      </c>
    </row>
    <row r="3" spans="1:3">
      <c r="A3">
        <v>0.36</v>
      </c>
      <c r="B3">
        <v>7.0000000000000001E-3</v>
      </c>
    </row>
    <row r="4" spans="1:3">
      <c r="A4">
        <v>0.37</v>
      </c>
      <c r="B4">
        <v>1.0999999999999999E-2</v>
      </c>
    </row>
    <row r="5" spans="1:3">
      <c r="A5">
        <v>0.38</v>
      </c>
      <c r="B5">
        <v>1.7999999999999999E-2</v>
      </c>
    </row>
    <row r="6" spans="1:3">
      <c r="A6">
        <v>0.39</v>
      </c>
      <c r="B6">
        <v>2.8000000000000001E-2</v>
      </c>
    </row>
    <row r="7" spans="1:3">
      <c r="A7">
        <v>0.4</v>
      </c>
      <c r="B7">
        <v>4.2000000000000003E-2</v>
      </c>
    </row>
    <row r="8" spans="1:3">
      <c r="A8">
        <v>0.41</v>
      </c>
      <c r="B8">
        <v>6.4000000000000001E-2</v>
      </c>
    </row>
    <row r="9" spans="1:3">
      <c r="A9">
        <v>0.42</v>
      </c>
      <c r="B9">
        <v>9.6000000000000002E-2</v>
      </c>
    </row>
    <row r="10" spans="1:3">
      <c r="A10">
        <v>0.43</v>
      </c>
      <c r="B10">
        <v>0.14399999999999999</v>
      </c>
    </row>
    <row r="11" spans="1:3">
      <c r="A11">
        <v>0.44</v>
      </c>
      <c r="B11">
        <v>0.21199999999999999</v>
      </c>
    </row>
    <row r="12" spans="1:3">
      <c r="A12">
        <v>0.45</v>
      </c>
      <c r="B12">
        <v>0.32300000000000001</v>
      </c>
    </row>
    <row r="13" spans="1:3">
      <c r="A13">
        <v>0.46</v>
      </c>
      <c r="B13">
        <v>0.47599999999999998</v>
      </c>
    </row>
    <row r="14" spans="1:3">
      <c r="A14">
        <v>0.47</v>
      </c>
      <c r="B14">
        <v>0.69399999999999995</v>
      </c>
    </row>
    <row r="15" spans="1:3">
      <c r="A15">
        <v>0.48</v>
      </c>
      <c r="B15">
        <v>1</v>
      </c>
    </row>
    <row r="16" spans="1:3">
      <c r="A16">
        <v>0.49</v>
      </c>
      <c r="B16">
        <v>1.47</v>
      </c>
    </row>
    <row r="17" spans="1:2">
      <c r="A17">
        <v>0.5</v>
      </c>
      <c r="B17">
        <v>2.17</v>
      </c>
    </row>
    <row r="18" spans="1:2">
      <c r="A18">
        <v>0.51</v>
      </c>
      <c r="B18">
        <v>3.15</v>
      </c>
    </row>
    <row r="19" spans="1:2">
      <c r="A19">
        <v>0.52</v>
      </c>
      <c r="B19">
        <v>4.68</v>
      </c>
    </row>
    <row r="20" spans="1:2">
      <c r="A20">
        <v>0.53</v>
      </c>
      <c r="B20">
        <v>6.97</v>
      </c>
    </row>
    <row r="21" spans="1:2">
      <c r="A21">
        <v>0.54</v>
      </c>
      <c r="B21">
        <v>10.210000000000001</v>
      </c>
    </row>
    <row r="22" spans="1:2">
      <c r="A22">
        <v>0.55000000000000004</v>
      </c>
      <c r="B22">
        <v>15.2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8778-7C1F-6147-A9DB-0933E1A6E28B}">
  <dimension ref="A1:D94"/>
  <sheetViews>
    <sheetView tabSelected="1" zoomScaleNormal="80" zoomScaleSheetLayoutView="100" workbookViewId="0">
      <selection activeCell="I15" sqref="I15"/>
    </sheetView>
  </sheetViews>
  <sheetFormatPr defaultRowHeight="13.5"/>
  <cols>
    <col min="4" max="4" width="12.5" bestFit="1" customWidth="1"/>
  </cols>
  <sheetData>
    <row r="1" spans="1:4">
      <c r="A1" t="s">
        <v>7</v>
      </c>
      <c r="B1" t="s">
        <v>8</v>
      </c>
      <c r="C1" t="s">
        <v>0</v>
      </c>
    </row>
    <row r="2" spans="1:4">
      <c r="A2">
        <v>18.5</v>
      </c>
      <c r="B2">
        <f>A2+273.15</f>
        <v>291.64999999999998</v>
      </c>
      <c r="C2">
        <v>0.58399999999999996</v>
      </c>
      <c r="D2">
        <f>SLOPE(C2:C94,A2:A94)</f>
        <v>-2.465518784876608E-3</v>
      </c>
    </row>
    <row r="3" spans="1:4">
      <c r="A3">
        <v>19</v>
      </c>
      <c r="B3">
        <f t="shared" ref="B3:B66" si="0">A3+273.15</f>
        <v>292.14999999999998</v>
      </c>
      <c r="C3">
        <v>0.58199999999999996</v>
      </c>
      <c r="D3">
        <f>INTERCEPT(A2:A94,C2:C94)</f>
        <v>255.06381782783725</v>
      </c>
    </row>
    <row r="4" spans="1:4">
      <c r="A4">
        <v>19.5</v>
      </c>
      <c r="B4">
        <f t="shared" si="0"/>
        <v>292.64999999999998</v>
      </c>
      <c r="C4">
        <v>0.58099999999999996</v>
      </c>
    </row>
    <row r="5" spans="1:4">
      <c r="A5">
        <v>20</v>
      </c>
      <c r="B5">
        <f t="shared" si="0"/>
        <v>293.14999999999998</v>
      </c>
      <c r="C5">
        <v>0.57899999999999996</v>
      </c>
    </row>
    <row r="6" spans="1:4">
      <c r="A6">
        <v>20.5</v>
      </c>
      <c r="B6">
        <f t="shared" si="0"/>
        <v>293.64999999999998</v>
      </c>
      <c r="C6">
        <v>0.57799999999999996</v>
      </c>
    </row>
    <row r="7" spans="1:4">
      <c r="A7">
        <v>21</v>
      </c>
      <c r="B7">
        <f t="shared" si="0"/>
        <v>294.14999999999998</v>
      </c>
      <c r="C7">
        <v>0.57699999999999996</v>
      </c>
    </row>
    <row r="8" spans="1:4">
      <c r="A8">
        <v>21.5</v>
      </c>
      <c r="B8">
        <f t="shared" si="0"/>
        <v>294.64999999999998</v>
      </c>
      <c r="C8">
        <v>0.57599999999999996</v>
      </c>
    </row>
    <row r="9" spans="1:4">
      <c r="A9">
        <v>22</v>
      </c>
      <c r="B9">
        <f t="shared" si="0"/>
        <v>295.14999999999998</v>
      </c>
      <c r="C9">
        <v>0.57499999999999996</v>
      </c>
    </row>
    <row r="10" spans="1:4">
      <c r="A10">
        <v>22.5</v>
      </c>
      <c r="B10">
        <f t="shared" si="0"/>
        <v>295.64999999999998</v>
      </c>
      <c r="C10">
        <v>0.57299999999999995</v>
      </c>
    </row>
    <row r="11" spans="1:4">
      <c r="A11">
        <v>23</v>
      </c>
      <c r="B11">
        <f t="shared" si="0"/>
        <v>296.14999999999998</v>
      </c>
      <c r="C11">
        <v>0.57199999999999995</v>
      </c>
    </row>
    <row r="12" spans="1:4">
      <c r="A12">
        <v>23.5</v>
      </c>
      <c r="B12">
        <f t="shared" si="0"/>
        <v>296.64999999999998</v>
      </c>
      <c r="C12">
        <v>0.57099999999999995</v>
      </c>
    </row>
    <row r="13" spans="1:4">
      <c r="A13">
        <v>24</v>
      </c>
      <c r="B13">
        <f t="shared" si="0"/>
        <v>297.14999999999998</v>
      </c>
      <c r="C13">
        <v>0.56999999999999995</v>
      </c>
    </row>
    <row r="14" spans="1:4">
      <c r="A14">
        <v>24.5</v>
      </c>
      <c r="B14">
        <f t="shared" si="0"/>
        <v>297.64999999999998</v>
      </c>
      <c r="C14">
        <v>0.56799999999999995</v>
      </c>
    </row>
    <row r="15" spans="1:4">
      <c r="A15">
        <v>25</v>
      </c>
      <c r="B15">
        <f t="shared" si="0"/>
        <v>298.14999999999998</v>
      </c>
      <c r="C15">
        <v>0.56699999999999995</v>
      </c>
    </row>
    <row r="16" spans="1:4">
      <c r="A16">
        <v>25.5</v>
      </c>
      <c r="B16">
        <f t="shared" si="0"/>
        <v>298.64999999999998</v>
      </c>
      <c r="C16">
        <v>0.56599999999999995</v>
      </c>
    </row>
    <row r="17" spans="1:3">
      <c r="A17">
        <v>26</v>
      </c>
      <c r="B17">
        <f t="shared" si="0"/>
        <v>299.14999999999998</v>
      </c>
      <c r="C17">
        <v>0.56499999999999995</v>
      </c>
    </row>
    <row r="18" spans="1:3">
      <c r="A18">
        <v>26.5</v>
      </c>
      <c r="B18">
        <f t="shared" si="0"/>
        <v>299.64999999999998</v>
      </c>
      <c r="C18">
        <v>0.56299999999999994</v>
      </c>
    </row>
    <row r="19" spans="1:3">
      <c r="A19">
        <v>27</v>
      </c>
      <c r="B19">
        <f t="shared" si="0"/>
        <v>300.14999999999998</v>
      </c>
      <c r="C19">
        <v>0.56200000000000006</v>
      </c>
    </row>
    <row r="20" spans="1:3">
      <c r="A20">
        <v>27.5</v>
      </c>
      <c r="B20">
        <f t="shared" si="0"/>
        <v>300.64999999999998</v>
      </c>
      <c r="C20">
        <v>0.56100000000000005</v>
      </c>
    </row>
    <row r="21" spans="1:3">
      <c r="A21">
        <v>28</v>
      </c>
      <c r="B21">
        <f t="shared" si="0"/>
        <v>301.14999999999998</v>
      </c>
      <c r="C21">
        <v>0.56000000000000005</v>
      </c>
    </row>
    <row r="22" spans="1:3">
      <c r="A22">
        <v>28.5</v>
      </c>
      <c r="B22">
        <f t="shared" si="0"/>
        <v>301.64999999999998</v>
      </c>
      <c r="C22">
        <v>0.55800000000000005</v>
      </c>
    </row>
    <row r="23" spans="1:3">
      <c r="A23">
        <v>29</v>
      </c>
      <c r="B23">
        <f t="shared" si="0"/>
        <v>302.14999999999998</v>
      </c>
      <c r="C23">
        <v>0.55700000000000005</v>
      </c>
    </row>
    <row r="24" spans="1:3">
      <c r="A24">
        <v>29.5</v>
      </c>
      <c r="B24">
        <f t="shared" si="0"/>
        <v>302.64999999999998</v>
      </c>
      <c r="C24">
        <v>0.55600000000000005</v>
      </c>
    </row>
    <row r="25" spans="1:3">
      <c r="A25">
        <v>30</v>
      </c>
      <c r="B25">
        <f t="shared" si="0"/>
        <v>303.14999999999998</v>
      </c>
      <c r="C25">
        <v>0.55500000000000005</v>
      </c>
    </row>
    <row r="26" spans="1:3">
      <c r="A26">
        <v>30.5</v>
      </c>
      <c r="B26">
        <f t="shared" si="0"/>
        <v>303.64999999999998</v>
      </c>
      <c r="C26">
        <v>0.55400000000000005</v>
      </c>
    </row>
    <row r="27" spans="1:3">
      <c r="A27">
        <v>31</v>
      </c>
      <c r="B27">
        <f t="shared" si="0"/>
        <v>304.14999999999998</v>
      </c>
      <c r="C27">
        <v>0.55200000000000005</v>
      </c>
    </row>
    <row r="28" spans="1:3">
      <c r="A28">
        <v>31.5</v>
      </c>
      <c r="B28">
        <f t="shared" si="0"/>
        <v>304.64999999999998</v>
      </c>
      <c r="C28">
        <v>0.55100000000000005</v>
      </c>
    </row>
    <row r="29" spans="1:3">
      <c r="A29">
        <v>32</v>
      </c>
      <c r="B29">
        <f t="shared" si="0"/>
        <v>305.14999999999998</v>
      </c>
      <c r="C29">
        <v>0.55000000000000004</v>
      </c>
    </row>
    <row r="30" spans="1:3">
      <c r="A30">
        <v>32.5</v>
      </c>
      <c r="B30">
        <f t="shared" si="0"/>
        <v>305.64999999999998</v>
      </c>
      <c r="C30">
        <v>0.54900000000000004</v>
      </c>
    </row>
    <row r="31" spans="1:3">
      <c r="A31">
        <v>33</v>
      </c>
      <c r="B31">
        <f t="shared" si="0"/>
        <v>306.14999999999998</v>
      </c>
      <c r="C31">
        <v>0.54800000000000004</v>
      </c>
    </row>
    <row r="32" spans="1:3">
      <c r="A32">
        <v>33.5</v>
      </c>
      <c r="B32">
        <f t="shared" si="0"/>
        <v>306.64999999999998</v>
      </c>
      <c r="C32">
        <v>0.54600000000000004</v>
      </c>
    </row>
    <row r="33" spans="1:3">
      <c r="A33">
        <v>34</v>
      </c>
      <c r="B33">
        <f t="shared" si="0"/>
        <v>307.14999999999998</v>
      </c>
      <c r="C33">
        <v>0.54500000000000004</v>
      </c>
    </row>
    <row r="34" spans="1:3">
      <c r="A34">
        <v>34.5</v>
      </c>
      <c r="B34">
        <f t="shared" si="0"/>
        <v>307.64999999999998</v>
      </c>
      <c r="C34">
        <v>0.54400000000000004</v>
      </c>
    </row>
    <row r="35" spans="1:3">
      <c r="A35">
        <v>35</v>
      </c>
      <c r="B35">
        <f t="shared" si="0"/>
        <v>308.14999999999998</v>
      </c>
      <c r="C35">
        <v>0.54300000000000004</v>
      </c>
    </row>
    <row r="36" spans="1:3">
      <c r="A36">
        <v>35.5</v>
      </c>
      <c r="B36">
        <f t="shared" si="0"/>
        <v>308.64999999999998</v>
      </c>
      <c r="C36">
        <v>0.54100000000000004</v>
      </c>
    </row>
    <row r="37" spans="1:3">
      <c r="A37">
        <v>36</v>
      </c>
      <c r="B37">
        <f t="shared" si="0"/>
        <v>309.14999999999998</v>
      </c>
      <c r="C37">
        <v>0.54</v>
      </c>
    </row>
    <row r="38" spans="1:3">
      <c r="A38">
        <v>36.5</v>
      </c>
      <c r="B38">
        <f t="shared" si="0"/>
        <v>309.64999999999998</v>
      </c>
      <c r="C38">
        <v>0.53900000000000003</v>
      </c>
    </row>
    <row r="39" spans="1:3">
      <c r="A39">
        <v>37</v>
      </c>
      <c r="B39">
        <f t="shared" si="0"/>
        <v>310.14999999999998</v>
      </c>
      <c r="C39">
        <v>0.53800000000000003</v>
      </c>
    </row>
    <row r="40" spans="1:3">
      <c r="A40">
        <v>37.5</v>
      </c>
      <c r="B40">
        <f t="shared" si="0"/>
        <v>310.64999999999998</v>
      </c>
      <c r="C40">
        <v>0.53700000000000003</v>
      </c>
    </row>
    <row r="41" spans="1:3">
      <c r="A41">
        <v>38</v>
      </c>
      <c r="B41">
        <f t="shared" si="0"/>
        <v>311.14999999999998</v>
      </c>
      <c r="C41">
        <v>0.53500000000000003</v>
      </c>
    </row>
    <row r="42" spans="1:3">
      <c r="A42">
        <v>38.5</v>
      </c>
      <c r="B42">
        <f t="shared" si="0"/>
        <v>311.64999999999998</v>
      </c>
      <c r="C42">
        <v>0.53400000000000003</v>
      </c>
    </row>
    <row r="43" spans="1:3">
      <c r="A43">
        <v>39</v>
      </c>
      <c r="B43">
        <f t="shared" si="0"/>
        <v>312.14999999999998</v>
      </c>
      <c r="C43">
        <v>0.53300000000000003</v>
      </c>
    </row>
    <row r="44" spans="1:3">
      <c r="A44">
        <v>39.5</v>
      </c>
      <c r="B44">
        <f t="shared" si="0"/>
        <v>312.64999999999998</v>
      </c>
      <c r="C44">
        <v>0.53200000000000003</v>
      </c>
    </row>
    <row r="45" spans="1:3">
      <c r="A45">
        <v>40</v>
      </c>
      <c r="B45">
        <f t="shared" si="0"/>
        <v>313.14999999999998</v>
      </c>
      <c r="C45">
        <v>0.53100000000000003</v>
      </c>
    </row>
    <row r="46" spans="1:3">
      <c r="A46">
        <v>40.5</v>
      </c>
      <c r="B46">
        <f t="shared" si="0"/>
        <v>313.64999999999998</v>
      </c>
      <c r="C46">
        <v>0.52900000000000003</v>
      </c>
    </row>
    <row r="47" spans="1:3">
      <c r="A47">
        <v>41</v>
      </c>
      <c r="B47">
        <f t="shared" si="0"/>
        <v>314.14999999999998</v>
      </c>
      <c r="C47">
        <v>0.52800000000000002</v>
      </c>
    </row>
    <row r="48" spans="1:3">
      <c r="A48">
        <v>41.5</v>
      </c>
      <c r="B48">
        <f t="shared" si="0"/>
        <v>314.64999999999998</v>
      </c>
      <c r="C48">
        <v>0.52700000000000002</v>
      </c>
    </row>
    <row r="49" spans="1:3">
      <c r="A49">
        <v>42</v>
      </c>
      <c r="B49">
        <f t="shared" si="0"/>
        <v>315.14999999999998</v>
      </c>
      <c r="C49">
        <v>0.52600000000000002</v>
      </c>
    </row>
    <row r="50" spans="1:3">
      <c r="A50">
        <v>42.5</v>
      </c>
      <c r="B50">
        <f t="shared" si="0"/>
        <v>315.64999999999998</v>
      </c>
      <c r="C50">
        <v>0.52500000000000002</v>
      </c>
    </row>
    <row r="51" spans="1:3">
      <c r="A51">
        <v>43</v>
      </c>
      <c r="B51">
        <f t="shared" si="0"/>
        <v>316.14999999999998</v>
      </c>
      <c r="C51">
        <v>0.52300000000000002</v>
      </c>
    </row>
    <row r="52" spans="1:3">
      <c r="A52">
        <v>43.5</v>
      </c>
      <c r="B52">
        <f t="shared" si="0"/>
        <v>316.64999999999998</v>
      </c>
      <c r="C52">
        <v>0.52200000000000002</v>
      </c>
    </row>
    <row r="53" spans="1:3">
      <c r="A53">
        <v>44</v>
      </c>
      <c r="B53">
        <f t="shared" si="0"/>
        <v>317.14999999999998</v>
      </c>
      <c r="C53">
        <v>0.52100000000000002</v>
      </c>
    </row>
    <row r="54" spans="1:3">
      <c r="A54">
        <v>44.5</v>
      </c>
      <c r="B54">
        <f t="shared" si="0"/>
        <v>317.64999999999998</v>
      </c>
      <c r="C54">
        <v>0.52</v>
      </c>
    </row>
    <row r="55" spans="1:3">
      <c r="A55">
        <v>45</v>
      </c>
      <c r="B55">
        <f t="shared" si="0"/>
        <v>318.14999999999998</v>
      </c>
      <c r="C55">
        <v>0.51800000000000002</v>
      </c>
    </row>
    <row r="56" spans="1:3">
      <c r="A56">
        <v>45.5</v>
      </c>
      <c r="B56">
        <f t="shared" si="0"/>
        <v>318.64999999999998</v>
      </c>
      <c r="C56">
        <v>0.51700000000000002</v>
      </c>
    </row>
    <row r="57" spans="1:3">
      <c r="A57">
        <v>46</v>
      </c>
      <c r="B57">
        <f t="shared" si="0"/>
        <v>319.14999999999998</v>
      </c>
      <c r="C57">
        <v>0.51600000000000001</v>
      </c>
    </row>
    <row r="58" spans="1:3">
      <c r="A58">
        <v>46.5</v>
      </c>
      <c r="B58">
        <f t="shared" si="0"/>
        <v>319.64999999999998</v>
      </c>
      <c r="C58">
        <v>0.51400000000000001</v>
      </c>
    </row>
    <row r="59" spans="1:3">
      <c r="A59">
        <v>47</v>
      </c>
      <c r="B59">
        <f t="shared" si="0"/>
        <v>320.14999999999998</v>
      </c>
      <c r="C59">
        <v>0.51300000000000001</v>
      </c>
    </row>
    <row r="60" spans="1:3">
      <c r="A60">
        <v>47.5</v>
      </c>
      <c r="B60">
        <f t="shared" si="0"/>
        <v>320.64999999999998</v>
      </c>
      <c r="C60">
        <v>0.51200000000000001</v>
      </c>
    </row>
    <row r="61" spans="1:3">
      <c r="A61">
        <v>48</v>
      </c>
      <c r="B61">
        <f t="shared" si="0"/>
        <v>321.14999999999998</v>
      </c>
      <c r="C61">
        <v>0.51100000000000001</v>
      </c>
    </row>
    <row r="62" spans="1:3">
      <c r="A62">
        <v>48.5</v>
      </c>
      <c r="B62">
        <f t="shared" si="0"/>
        <v>321.64999999999998</v>
      </c>
      <c r="C62">
        <v>0.50900000000000001</v>
      </c>
    </row>
    <row r="63" spans="1:3">
      <c r="A63">
        <v>49</v>
      </c>
      <c r="B63">
        <f t="shared" si="0"/>
        <v>322.14999999999998</v>
      </c>
      <c r="C63">
        <v>0.50800000000000001</v>
      </c>
    </row>
    <row r="64" spans="1:3">
      <c r="A64">
        <v>49.5</v>
      </c>
      <c r="B64">
        <f t="shared" si="0"/>
        <v>322.64999999999998</v>
      </c>
      <c r="C64">
        <v>0.50700000000000001</v>
      </c>
    </row>
    <row r="65" spans="1:3">
      <c r="A65">
        <v>50</v>
      </c>
      <c r="B65">
        <f t="shared" si="0"/>
        <v>323.14999999999998</v>
      </c>
      <c r="C65">
        <v>0.50600000000000001</v>
      </c>
    </row>
    <row r="66" spans="1:3">
      <c r="A66">
        <v>50.5</v>
      </c>
      <c r="B66">
        <f t="shared" si="0"/>
        <v>323.64999999999998</v>
      </c>
      <c r="C66">
        <v>0.504</v>
      </c>
    </row>
    <row r="67" spans="1:3">
      <c r="A67">
        <v>51</v>
      </c>
      <c r="B67">
        <f t="shared" ref="B67:B94" si="1">A67+273.15</f>
        <v>324.14999999999998</v>
      </c>
      <c r="C67">
        <v>0.503</v>
      </c>
    </row>
    <row r="68" spans="1:3">
      <c r="A68">
        <v>51.5</v>
      </c>
      <c r="B68">
        <f t="shared" si="1"/>
        <v>324.64999999999998</v>
      </c>
      <c r="C68">
        <v>0.502</v>
      </c>
    </row>
    <row r="69" spans="1:3">
      <c r="A69">
        <v>52</v>
      </c>
      <c r="B69">
        <f t="shared" si="1"/>
        <v>325.14999999999998</v>
      </c>
      <c r="C69">
        <v>0.501</v>
      </c>
    </row>
    <row r="70" spans="1:3">
      <c r="A70">
        <v>52.5</v>
      </c>
      <c r="B70">
        <f t="shared" si="1"/>
        <v>325.64999999999998</v>
      </c>
      <c r="C70">
        <v>0.5</v>
      </c>
    </row>
    <row r="71" spans="1:3">
      <c r="A71">
        <v>53</v>
      </c>
      <c r="B71">
        <f t="shared" si="1"/>
        <v>326.14999999999998</v>
      </c>
      <c r="C71">
        <v>0.498</v>
      </c>
    </row>
    <row r="72" spans="1:3">
      <c r="A72">
        <v>53.5</v>
      </c>
      <c r="B72">
        <f t="shared" si="1"/>
        <v>326.64999999999998</v>
      </c>
      <c r="C72">
        <v>0.497</v>
      </c>
    </row>
    <row r="73" spans="1:3">
      <c r="A73">
        <v>54</v>
      </c>
      <c r="B73">
        <f t="shared" si="1"/>
        <v>327.14999999999998</v>
      </c>
      <c r="C73">
        <v>0.496</v>
      </c>
    </row>
    <row r="74" spans="1:3">
      <c r="A74">
        <v>54.5</v>
      </c>
      <c r="B74">
        <f t="shared" si="1"/>
        <v>327.64999999999998</v>
      </c>
      <c r="C74">
        <v>0.495</v>
      </c>
    </row>
    <row r="75" spans="1:3">
      <c r="A75">
        <v>55</v>
      </c>
      <c r="B75">
        <f t="shared" si="1"/>
        <v>328.15</v>
      </c>
      <c r="C75">
        <v>0.49299999999999999</v>
      </c>
    </row>
    <row r="76" spans="1:3">
      <c r="A76">
        <v>55.5</v>
      </c>
      <c r="B76">
        <f t="shared" si="1"/>
        <v>328.65</v>
      </c>
      <c r="C76">
        <v>0.49199999999999999</v>
      </c>
    </row>
    <row r="77" spans="1:3">
      <c r="A77">
        <v>56</v>
      </c>
      <c r="B77">
        <f t="shared" si="1"/>
        <v>329.15</v>
      </c>
      <c r="C77">
        <v>0.49099999999999999</v>
      </c>
    </row>
    <row r="78" spans="1:3">
      <c r="A78">
        <v>56.5</v>
      </c>
      <c r="B78">
        <f t="shared" si="1"/>
        <v>329.65</v>
      </c>
      <c r="C78">
        <v>0.49</v>
      </c>
    </row>
    <row r="79" spans="1:3">
      <c r="A79">
        <v>57</v>
      </c>
      <c r="B79">
        <f t="shared" si="1"/>
        <v>330.15</v>
      </c>
      <c r="C79">
        <v>0.48799999999999999</v>
      </c>
    </row>
    <row r="80" spans="1:3">
      <c r="A80">
        <v>57.5</v>
      </c>
      <c r="B80">
        <f t="shared" si="1"/>
        <v>330.65</v>
      </c>
      <c r="C80">
        <v>0.48699999999999999</v>
      </c>
    </row>
    <row r="81" spans="1:3">
      <c r="A81">
        <v>58</v>
      </c>
      <c r="B81">
        <f t="shared" si="1"/>
        <v>331.15</v>
      </c>
      <c r="C81">
        <v>0.48599999999999999</v>
      </c>
    </row>
    <row r="82" spans="1:3">
      <c r="A82">
        <v>58.5</v>
      </c>
      <c r="B82">
        <f t="shared" si="1"/>
        <v>331.65</v>
      </c>
      <c r="C82">
        <v>0.48499999999999999</v>
      </c>
    </row>
    <row r="83" spans="1:3">
      <c r="A83">
        <v>59</v>
      </c>
      <c r="B83">
        <f t="shared" si="1"/>
        <v>332.15</v>
      </c>
      <c r="C83">
        <v>0.48299999999999998</v>
      </c>
    </row>
    <row r="84" spans="1:3">
      <c r="A84">
        <v>59.5</v>
      </c>
      <c r="B84">
        <f t="shared" si="1"/>
        <v>332.65</v>
      </c>
      <c r="C84">
        <v>0.48199999999999998</v>
      </c>
    </row>
    <row r="85" spans="1:3">
      <c r="A85">
        <v>60</v>
      </c>
      <c r="B85">
        <f t="shared" si="1"/>
        <v>333.15</v>
      </c>
      <c r="C85">
        <v>0.48099999999999998</v>
      </c>
    </row>
    <row r="86" spans="1:3">
      <c r="A86">
        <v>60.5</v>
      </c>
      <c r="B86">
        <f t="shared" si="1"/>
        <v>333.65</v>
      </c>
      <c r="C86">
        <v>0.48</v>
      </c>
    </row>
    <row r="87" spans="1:3">
      <c r="A87">
        <v>61</v>
      </c>
      <c r="B87">
        <f t="shared" si="1"/>
        <v>334.15</v>
      </c>
      <c r="C87">
        <v>0.47899999999999998</v>
      </c>
    </row>
    <row r="88" spans="1:3">
      <c r="A88">
        <v>61.5</v>
      </c>
      <c r="B88">
        <f t="shared" si="1"/>
        <v>334.65</v>
      </c>
      <c r="C88">
        <v>0.47699999999999998</v>
      </c>
    </row>
    <row r="89" spans="1:3">
      <c r="A89">
        <v>62</v>
      </c>
      <c r="B89">
        <f t="shared" si="1"/>
        <v>335.15</v>
      </c>
      <c r="C89">
        <v>0.47499999999999998</v>
      </c>
    </row>
    <row r="90" spans="1:3">
      <c r="A90">
        <v>62.5</v>
      </c>
      <c r="B90">
        <f t="shared" si="1"/>
        <v>335.65</v>
      </c>
      <c r="C90">
        <v>0.47499999999999998</v>
      </c>
    </row>
    <row r="91" spans="1:3">
      <c r="A91">
        <v>63</v>
      </c>
      <c r="B91">
        <f t="shared" si="1"/>
        <v>336.15</v>
      </c>
      <c r="C91">
        <v>0.47299999999999998</v>
      </c>
    </row>
    <row r="92" spans="1:3">
      <c r="A92">
        <v>63.5</v>
      </c>
      <c r="B92">
        <f t="shared" si="1"/>
        <v>336.65</v>
      </c>
      <c r="C92">
        <v>0.47199999999999998</v>
      </c>
    </row>
    <row r="93" spans="1:3">
      <c r="A93">
        <v>64</v>
      </c>
      <c r="B93">
        <f t="shared" si="1"/>
        <v>337.15</v>
      </c>
      <c r="C93">
        <v>0.47099999999999997</v>
      </c>
    </row>
    <row r="94" spans="1:3">
      <c r="A94">
        <v>64.5</v>
      </c>
      <c r="B94">
        <f t="shared" si="1"/>
        <v>337.65</v>
      </c>
      <c r="C94">
        <v>0.46899999999999997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京恒 刘</dc:creator>
  <cp:keywords/>
  <dc:description/>
  <cp:lastModifiedBy>京恒 刘</cp:lastModifiedBy>
  <cp:revision/>
  <dcterms:created xsi:type="dcterms:W3CDTF">2025-10-21T19:56:09Z</dcterms:created>
  <dcterms:modified xsi:type="dcterms:W3CDTF">2025-10-21T13:46:33Z</dcterms:modified>
  <cp:category/>
  <cp:contentStatus/>
</cp:coreProperties>
</file>