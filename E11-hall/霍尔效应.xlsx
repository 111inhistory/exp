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/>
  <mc:AlternateContent xmlns:mc="http://schemas.openxmlformats.org/markup-compatibility/2006">
    <mc:Choice Requires="x15">
      <x15ac:absPath xmlns:x15ac="http://schemas.microsoft.com/office/spreadsheetml/2010/11/ac" url="J:\Study\大二上\exp\E11-hall\"/>
    </mc:Choice>
  </mc:AlternateContent>
  <xr:revisionPtr revIDLastSave="0" documentId="13_ncr:1_{914CB834-FC19-4196-B9CC-1A77C6A834D0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I_M-B关系" sheetId="1" r:id="rId1"/>
    <sheet name="I_S-U_H关系及n,R_H,K_H计算" sheetId="2" r:id="rId2"/>
    <sheet name="电导率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3" l="1"/>
  <c r="D13" i="2"/>
  <c r="B11" i="2"/>
  <c r="B7" i="1"/>
  <c r="B12" i="1"/>
  <c r="B12" i="2"/>
  <c r="K6" i="3"/>
  <c r="C4" i="3"/>
  <c r="C5" i="3" s="1"/>
  <c r="D4" i="3"/>
  <c r="D5" i="3" s="1"/>
  <c r="E4" i="3"/>
  <c r="E5" i="3" s="1"/>
  <c r="F4" i="3"/>
  <c r="F5" i="3" s="1"/>
  <c r="G4" i="3"/>
  <c r="G5" i="3" s="1"/>
  <c r="H4" i="3"/>
  <c r="H5" i="3" s="1"/>
  <c r="I4" i="3"/>
  <c r="I5" i="3" s="1"/>
  <c r="B4" i="3"/>
  <c r="B5" i="3" s="1"/>
  <c r="D12" i="2"/>
  <c r="C6" i="2"/>
  <c r="D6" i="2"/>
  <c r="E6" i="2"/>
  <c r="F6" i="2"/>
  <c r="G6" i="2"/>
  <c r="H6" i="2"/>
  <c r="I6" i="2"/>
  <c r="B6" i="2"/>
  <c r="C7" i="1"/>
  <c r="D7" i="1"/>
  <c r="E7" i="1"/>
  <c r="F7" i="1"/>
  <c r="G7" i="1"/>
  <c r="H7" i="1"/>
  <c r="I7" i="1"/>
  <c r="J7" i="1"/>
  <c r="K7" i="1"/>
  <c r="C6" i="1"/>
  <c r="D6" i="1"/>
  <c r="E6" i="1"/>
  <c r="F6" i="1"/>
  <c r="G6" i="1"/>
  <c r="H6" i="1"/>
  <c r="I6" i="1"/>
  <c r="J6" i="1"/>
  <c r="K6" i="1"/>
  <c r="B6" i="1"/>
  <c r="K4" i="2" a="1"/>
  <c r="K4" i="2" l="1"/>
  <c r="B11" i="1"/>
  <c r="K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numpy as np
import matplotlib.pyplot as plt
plt.scatter(xl(%P2%).to_numpy().flatten(),xl(%P3%).to_numpy().flatten(), label="$U_H$-$I_S$数据点")
x = np.linspace(xl(%P4%).to_numpy().flatten().min(), xl(%P5%).to_numpy().flatten().max(), 100)
y = np.polyval(np.polyfit(xl(%P6%).to_numpy().flatten(),xl(%P7%).to_numpy().flatten(),1), x).flatten()
plt.plot(x,y,label="$U_H$-$I_S$线性拟合")
plt.xlabel = "$I_S$/mA"
plt.ylabel = "$U_B$/mV"
plt.legend()
plt.title("$U_H$-$I_s$拟合图")
plt.show()</code>
    </pythonScript>
  </pythonScripts>
</python>
</file>

<file path=xl/sharedStrings.xml><?xml version="1.0" encoding="utf-8"?>
<sst xmlns="http://schemas.openxmlformats.org/spreadsheetml/2006/main" count="37" uniqueCount="25">
  <si>
    <t>I_M/mA</t>
  </si>
  <si>
    <t>U_1/mV</t>
  </si>
  <si>
    <t>U_2/mV</t>
  </si>
  <si>
    <t>U_3/mV</t>
  </si>
  <si>
    <t>U_4/mV</t>
  </si>
  <si>
    <t>U_H/mV</t>
  </si>
  <si>
    <t>B/T</t>
  </si>
  <si>
    <t>I_S/mA</t>
  </si>
  <si>
    <t>K_H</t>
  </si>
  <si>
    <t>根据实际情况（就是前面那张表里300mA对应的数据）修改</t>
  </si>
  <si>
    <t>R_H</t>
  </si>
  <si>
    <t>K_H标称值</t>
  </si>
  <si>
    <t>n</t>
  </si>
  <si>
    <t>d/mm</t>
  </si>
  <si>
    <t>b,l/mm</t>
  </si>
  <si>
    <t>U_sigma+/mV</t>
  </si>
  <si>
    <t>U_sigma-/mV</t>
  </si>
  <si>
    <t>U_sigma/mV</t>
  </si>
  <si>
    <t>sigma</t>
  </si>
  <si>
    <t>sigma平均</t>
  </si>
  <si>
    <t>斜率k</t>
    <phoneticPr fontId="1" alignment="center"/>
  </si>
  <si>
    <t>截距b</t>
    <phoneticPr fontId="1" alignment="center"/>
  </si>
  <si>
    <t>sigmaA类不确定度</t>
    <phoneticPr fontId="2" type="noConversion"/>
  </si>
  <si>
    <t>k</t>
    <phoneticPr fontId="2" type="noConversion"/>
  </si>
  <si>
    <t>mu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</si>
</sst>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E+00"/>
    <numFmt numFmtId="177" formatCode="0.0E+00"/>
    <numFmt numFmtId="178" formatCode="0.00_ "/>
    <numFmt numFmtId="179" formatCode="0.0000_ "/>
  </numFmts>
  <fonts count="3" x14ac:knownFonts="1">
    <font>
      <sz val="11"/>
      <color theme="1"/>
      <name val="等线"/>
      <family val="2"/>
      <charset val="134"/>
      <scheme val="minor"/>
    </font>
    <font>
      <sz val="6"/>
      <name val="Yu Gothic"/>
      <family val="2"/>
      <charset val="128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1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0" fontId="0" fillId="2" borderId="3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2" borderId="1" xfId="0" applyFill="1" applyBorder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11" fontId="0" fillId="0" borderId="1" xfId="0" applyNumberFormat="1" applyBorder="1">
      <alignment vertical="center"/>
    </xf>
    <xf numFmtId="179" fontId="0" fillId="0" borderId="0" xfId="0" applyNumberFormat="1">
      <alignment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8A4BB74F-3DF6-4DCC-A21C-45527E1064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ichStyles" Target="richData/richStyles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B与I_M关系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alpha val="99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'I_M-B关系'!$B$1:$K$1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'I_M-B关系'!$B$7:$K$7</c:f>
              <c:numCache>
                <c:formatCode>0.00E+00</c:formatCode>
                <c:ptCount val="10"/>
                <c:pt idx="0">
                  <c:v>1.1393596986817324E-3</c:v>
                </c:pt>
                <c:pt idx="1">
                  <c:v>2.306967984934087E-3</c:v>
                </c:pt>
                <c:pt idx="2">
                  <c:v>3.4557438794726929E-3</c:v>
                </c:pt>
                <c:pt idx="3">
                  <c:v>4.609227871939737E-3</c:v>
                </c:pt>
                <c:pt idx="4">
                  <c:v>5.7627118644067799E-3</c:v>
                </c:pt>
                <c:pt idx="5">
                  <c:v>6.9067796610169487E-3</c:v>
                </c:pt>
                <c:pt idx="6">
                  <c:v>8.0649717514124294E-3</c:v>
                </c:pt>
                <c:pt idx="7">
                  <c:v>9.2184557438794723E-3</c:v>
                </c:pt>
                <c:pt idx="8" formatCode="0.000E+00">
                  <c:v>1.0367231638418078E-2</c:v>
                </c:pt>
                <c:pt idx="9" formatCode="0.000E+00">
                  <c:v>1.151129943502825E-2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9E-49A7-9D16-1487823D9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060304"/>
        <c:axId val="250668624"/>
      </c:scatterChart>
      <c:valAx>
        <c:axId val="24906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0668624"/>
        <c:crosses val="autoZero"/>
        <c:crossBetween val="midCat"/>
      </c:valAx>
      <c:valAx>
        <c:axId val="25066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906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U_H-I_S拟合K_H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'I_S-U_H关系及n,R_H,K_H计算'!$B$1:$I$1</c:f>
              <c:numCache>
                <c:formatCode>0.00_ </c:formatCode>
                <c:ptCount val="8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</c:numCache>
            </c:numRef>
          </c:xVal>
          <c:yVal>
            <c:numRef>
              <c:f>'I_S-U_H关系及n,R_H,K_H计算'!$B$6:$I$6</c:f>
              <c:numCache>
                <c:formatCode>0.00_ </c:formatCode>
                <c:ptCount val="8"/>
                <c:pt idx="0">
                  <c:v>0.495</c:v>
                </c:pt>
                <c:pt idx="1">
                  <c:v>0.98249999999999993</c:v>
                </c:pt>
                <c:pt idx="2">
                  <c:v>1.47</c:v>
                </c:pt>
                <c:pt idx="3">
                  <c:v>1.9550000000000001</c:v>
                </c:pt>
                <c:pt idx="4">
                  <c:v>2.4450000000000003</c:v>
                </c:pt>
                <c:pt idx="5">
                  <c:v>2.9299999999999997</c:v>
                </c:pt>
                <c:pt idx="6">
                  <c:v>3.4274999999999998</c:v>
                </c:pt>
                <c:pt idx="7">
                  <c:v>3.91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0-4F00-A454-1D6304D74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768264"/>
        <c:axId val="1698440712"/>
      </c:scatterChart>
      <c:valAx>
        <c:axId val="1516768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440712"/>
        <c:crosses val="autoZero"/>
        <c:crossBetween val="midCat"/>
      </c:valAx>
      <c:valAx>
        <c:axId val="169844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768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107633</xdr:colOff>
      <xdr:row>10</xdr:row>
      <xdr:rowOff>175260</xdr:rowOff>
    </xdr:from>
    <xdr:to>
      <xdr:col>9</xdr:col>
      <xdr:colOff>555308</xdr:colOff>
      <xdr:row>26</xdr:row>
      <xdr:rowOff>149542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94F8341-7589-1043-869E-2D8ECDB2C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19</xdr:row>
      <xdr:rowOff>0</xdr:rowOff>
    </xdr:from>
    <xdr:to>
      <xdr:col>8</xdr:col>
      <xdr:colOff>371475</xdr:colOff>
      <xdr:row>37</xdr:row>
      <xdr:rowOff>119063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C1CDECD-636F-83E6-0C60-AA0582059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466725</xdr:colOff>
      <xdr:row>5</xdr:row>
      <xdr:rowOff>42862</xdr:rowOff>
    </xdr:from>
    <xdr:to>
      <xdr:col>17</xdr:col>
      <xdr:colOff>495300</xdr:colOff>
      <xdr:row>25</xdr:row>
      <xdr:rowOff>33337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6AC7AF3-7A05-DDFA-0025-023A6E307F7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I_S-U_H关系及n,R_H,K_H计算'!K4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8975" y="928687"/>
          <a:ext cx="5210175" cy="41433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547</v>
    <v>435</v>
  </a>
</arrayData>
</file>

<file path=xl/richData/rdrichvalue.xml><?xml version="1.0" encoding="utf-8"?>
<rvData xmlns="http://schemas.microsoft.com/office/spreadsheetml/2017/richdata" count="4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size=547x435 at 0x7F4F2DB4E3F0&gt;</v>
    <v>2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Anaconda 提供的 Python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B382-C2EC-474D-BA99-B9F19E0D97A8}">
  <dimension ref="A1:K12"/>
  <sheetViews>
    <sheetView topLeftCell="A4" zoomScale="106" zoomScaleNormal="310" zoomScaleSheetLayoutView="100" workbookViewId="0">
      <selection activeCell="B15" sqref="B15"/>
    </sheetView>
  </sheetViews>
  <sheetFormatPr defaultRowHeight="13.9" x14ac:dyDescent="0.4"/>
  <cols>
    <col min="2" max="2" width="15.796875" customWidth="1"/>
    <col min="3" max="11" width="9.46484375" bestFit="1" customWidth="1"/>
  </cols>
  <sheetData>
    <row r="1" spans="1:11" x14ac:dyDescent="0.4">
      <c r="A1" t="s">
        <v>0</v>
      </c>
      <c r="B1">
        <v>50</v>
      </c>
      <c r="C1">
        <v>100</v>
      </c>
      <c r="D1">
        <v>150</v>
      </c>
      <c r="E1">
        <v>200</v>
      </c>
      <c r="F1">
        <v>250</v>
      </c>
      <c r="G1">
        <v>300</v>
      </c>
      <c r="H1">
        <v>350</v>
      </c>
      <c r="I1">
        <v>400</v>
      </c>
      <c r="J1">
        <v>450</v>
      </c>
      <c r="K1">
        <v>500</v>
      </c>
    </row>
    <row r="2" spans="1:11" x14ac:dyDescent="0.4">
      <c r="A2" t="s">
        <v>1</v>
      </c>
      <c r="B2">
        <v>0.68</v>
      </c>
      <c r="C2">
        <v>1.3</v>
      </c>
      <c r="D2">
        <v>1.91</v>
      </c>
      <c r="E2">
        <v>2.5299999999999998</v>
      </c>
      <c r="F2">
        <v>3.14</v>
      </c>
      <c r="G2">
        <v>3.75</v>
      </c>
      <c r="H2">
        <v>4.37</v>
      </c>
      <c r="I2">
        <v>4.9800000000000004</v>
      </c>
      <c r="J2">
        <v>5.59</v>
      </c>
      <c r="K2">
        <v>6.2</v>
      </c>
    </row>
    <row r="3" spans="1:11" x14ac:dyDescent="0.4">
      <c r="A3" t="s">
        <v>2</v>
      </c>
      <c r="B3">
        <v>-0.53</v>
      </c>
      <c r="C3">
        <v>-1.1499999999999999</v>
      </c>
      <c r="D3">
        <v>-1.76</v>
      </c>
      <c r="E3">
        <v>-2.37</v>
      </c>
      <c r="F3">
        <v>-2.98</v>
      </c>
      <c r="G3">
        <v>-3.58</v>
      </c>
      <c r="H3">
        <v>-4.2</v>
      </c>
      <c r="I3">
        <v>-4.8099999999999996</v>
      </c>
      <c r="J3">
        <v>-5.42</v>
      </c>
      <c r="K3">
        <v>-6.03</v>
      </c>
    </row>
    <row r="4" spans="1:11" x14ac:dyDescent="0.4">
      <c r="A4" t="s">
        <v>3</v>
      </c>
      <c r="B4">
        <v>0.55000000000000004</v>
      </c>
      <c r="C4">
        <v>1.17</v>
      </c>
      <c r="D4">
        <v>1.78</v>
      </c>
      <c r="E4">
        <v>2.39</v>
      </c>
      <c r="F4">
        <v>3</v>
      </c>
      <c r="G4">
        <v>3.61</v>
      </c>
      <c r="H4">
        <v>4.22</v>
      </c>
      <c r="I4">
        <v>4.84</v>
      </c>
      <c r="J4">
        <v>5.45</v>
      </c>
      <c r="K4">
        <v>6.05</v>
      </c>
    </row>
    <row r="5" spans="1:11" x14ac:dyDescent="0.4">
      <c r="A5" t="s">
        <v>4</v>
      </c>
      <c r="B5">
        <v>-0.66</v>
      </c>
      <c r="C5">
        <v>-1.28</v>
      </c>
      <c r="D5">
        <v>-1.89</v>
      </c>
      <c r="E5">
        <v>-2.5</v>
      </c>
      <c r="F5">
        <v>-3.12</v>
      </c>
      <c r="G5">
        <v>-3.73</v>
      </c>
      <c r="H5">
        <v>-4.34</v>
      </c>
      <c r="I5">
        <v>-4.95</v>
      </c>
      <c r="J5">
        <v>-5.56</v>
      </c>
      <c r="K5">
        <v>-6.17</v>
      </c>
    </row>
    <row r="6" spans="1:11" x14ac:dyDescent="0.4">
      <c r="A6" t="s">
        <v>5</v>
      </c>
      <c r="B6">
        <f>(B2-B3+B4-B5)/4</f>
        <v>0.60499999999999998</v>
      </c>
      <c r="C6">
        <f t="shared" ref="C6:K6" si="0">(C2-C3+C4-C5)/4</f>
        <v>1.2250000000000001</v>
      </c>
      <c r="D6">
        <f t="shared" si="0"/>
        <v>1.835</v>
      </c>
      <c r="E6">
        <f t="shared" si="0"/>
        <v>2.4475000000000002</v>
      </c>
      <c r="F6">
        <f t="shared" si="0"/>
        <v>3.0600000000000005</v>
      </c>
      <c r="G6">
        <f t="shared" si="0"/>
        <v>3.6675</v>
      </c>
      <c r="H6">
        <f t="shared" si="0"/>
        <v>4.2824999999999998</v>
      </c>
      <c r="I6">
        <f t="shared" si="0"/>
        <v>4.8949999999999996</v>
      </c>
      <c r="J6">
        <f t="shared" si="0"/>
        <v>5.5049999999999999</v>
      </c>
      <c r="K6">
        <f t="shared" si="0"/>
        <v>6.1125000000000007</v>
      </c>
    </row>
    <row r="7" spans="1:11" x14ac:dyDescent="0.4">
      <c r="A7" t="s">
        <v>6</v>
      </c>
      <c r="B7" s="4">
        <f>B6/$B$9/$B$8</f>
        <v>1.1393596986817324E-3</v>
      </c>
      <c r="C7" s="4">
        <f t="shared" ref="C7:K7" si="1">C6/$B$9/$B$8</f>
        <v>2.306967984934087E-3</v>
      </c>
      <c r="D7" s="4">
        <f t="shared" si="1"/>
        <v>3.4557438794726929E-3</v>
      </c>
      <c r="E7" s="4">
        <f t="shared" si="1"/>
        <v>4.609227871939737E-3</v>
      </c>
      <c r="F7" s="4">
        <f t="shared" si="1"/>
        <v>5.7627118644067799E-3</v>
      </c>
      <c r="G7" s="4">
        <f t="shared" si="1"/>
        <v>6.9067796610169487E-3</v>
      </c>
      <c r="H7" s="4">
        <f t="shared" si="1"/>
        <v>8.0649717514124294E-3</v>
      </c>
      <c r="I7" s="4">
        <f t="shared" si="1"/>
        <v>9.2184557438794723E-3</v>
      </c>
      <c r="J7" s="2">
        <f t="shared" si="1"/>
        <v>1.0367231638418078E-2</v>
      </c>
      <c r="K7" s="2">
        <f t="shared" si="1"/>
        <v>1.151129943502825E-2</v>
      </c>
    </row>
    <row r="8" spans="1:11" x14ac:dyDescent="0.4">
      <c r="A8" t="s">
        <v>7</v>
      </c>
      <c r="B8">
        <v>3</v>
      </c>
    </row>
    <row r="9" spans="1:11" x14ac:dyDescent="0.4">
      <c r="A9" t="s">
        <v>8</v>
      </c>
      <c r="B9">
        <v>177</v>
      </c>
    </row>
    <row r="11" spans="1:11" x14ac:dyDescent="0.4">
      <c r="A11" t="s">
        <v>20</v>
      </c>
      <c r="B11">
        <f>SLOPE(B7:K7,B1:K1)</f>
        <v>2.3041716601038632E-5</v>
      </c>
    </row>
    <row r="12" spans="1:11" x14ac:dyDescent="0.4">
      <c r="A12" t="s">
        <v>21</v>
      </c>
      <c r="B12">
        <f>INTERCEPT(B7:K7,B1:K1)</f>
        <v>-2.1971123666027909E-6</v>
      </c>
    </row>
  </sheetData>
  <phoneticPr fontId="1" alignment="center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9594-BD93-4B02-B3D0-111609CF3566}">
  <dimension ref="A1:K15"/>
  <sheetViews>
    <sheetView tabSelected="1" topLeftCell="A10" workbookViewId="0">
      <selection activeCell="D12" sqref="D12"/>
    </sheetView>
  </sheetViews>
  <sheetFormatPr defaultRowHeight="13.9" x14ac:dyDescent="0.4"/>
  <cols>
    <col min="1" max="1" width="9.46484375" bestFit="1" customWidth="1"/>
    <col min="2" max="2" width="11.73046875" customWidth="1"/>
    <col min="3" max="3" width="12.3984375" customWidth="1"/>
    <col min="4" max="4" width="13.06640625" customWidth="1"/>
  </cols>
  <sheetData>
    <row r="1" spans="1:11" ht="14.25" thickBot="1" x14ac:dyDescent="0.45">
      <c r="A1" s="7" t="s">
        <v>7</v>
      </c>
      <c r="B1" s="8">
        <v>0.4</v>
      </c>
      <c r="C1" s="8">
        <v>0.8</v>
      </c>
      <c r="D1" s="8">
        <v>1.2</v>
      </c>
      <c r="E1" s="8">
        <v>1.6</v>
      </c>
      <c r="F1" s="8">
        <v>2</v>
      </c>
      <c r="G1" s="8">
        <v>2.4</v>
      </c>
      <c r="H1" s="8">
        <v>2.8</v>
      </c>
      <c r="I1" s="8">
        <v>3.2</v>
      </c>
    </row>
    <row r="2" spans="1:11" x14ac:dyDescent="0.4">
      <c r="A2" s="9" t="s">
        <v>1</v>
      </c>
      <c r="B2" s="5">
        <v>0.51</v>
      </c>
      <c r="C2" s="5">
        <v>1</v>
      </c>
      <c r="D2" s="5">
        <v>1.5</v>
      </c>
      <c r="E2" s="5">
        <v>2</v>
      </c>
      <c r="F2" s="5">
        <v>2.5</v>
      </c>
      <c r="G2" s="5">
        <v>3</v>
      </c>
      <c r="H2" s="5">
        <v>3.5</v>
      </c>
      <c r="I2" s="5">
        <v>4</v>
      </c>
    </row>
    <row r="3" spans="1:11" x14ac:dyDescent="0.4">
      <c r="A3" s="9" t="s">
        <v>2</v>
      </c>
      <c r="B3" s="5">
        <v>-0.48</v>
      </c>
      <c r="C3" s="5">
        <v>-0.96</v>
      </c>
      <c r="D3" s="5">
        <v>-1.44</v>
      </c>
      <c r="E3" s="5">
        <v>-1.91</v>
      </c>
      <c r="F3" s="5">
        <v>-2.39</v>
      </c>
      <c r="G3" s="5">
        <v>-2.86</v>
      </c>
      <c r="H3" s="5">
        <v>-3.35</v>
      </c>
      <c r="I3" s="5">
        <v>-3.82</v>
      </c>
    </row>
    <row r="4" spans="1:11" x14ac:dyDescent="0.4">
      <c r="A4" s="9" t="s">
        <v>3</v>
      </c>
      <c r="B4" s="5">
        <v>0.49</v>
      </c>
      <c r="C4" s="5">
        <v>0.97</v>
      </c>
      <c r="D4" s="5">
        <v>1.45</v>
      </c>
      <c r="E4" s="5">
        <v>1.92</v>
      </c>
      <c r="F4" s="5">
        <v>2.4</v>
      </c>
      <c r="G4" s="5">
        <v>2.88</v>
      </c>
      <c r="H4" s="5">
        <v>3.37</v>
      </c>
      <c r="I4" s="5">
        <v>3.84</v>
      </c>
      <c r="K4" t="e" cm="1" vm="1">
        <f t="array" ref="K4">_xlfn._xlws.PY(0,1,B1:I1,B6:I6,B1:I1,B1:I1,B1:I1,B6:I6)</f>
        <v>#VALUE!</v>
      </c>
    </row>
    <row r="5" spans="1:11" x14ac:dyDescent="0.4">
      <c r="A5" s="9" t="s">
        <v>4</v>
      </c>
      <c r="B5" s="5">
        <v>-0.5</v>
      </c>
      <c r="C5" s="5">
        <v>-1</v>
      </c>
      <c r="D5" s="5">
        <v>-1.49</v>
      </c>
      <c r="E5" s="5">
        <v>-1.99</v>
      </c>
      <c r="F5" s="5">
        <v>-2.4900000000000002</v>
      </c>
      <c r="G5" s="5">
        <v>-2.98</v>
      </c>
      <c r="H5" s="5">
        <v>-3.49</v>
      </c>
      <c r="I5" s="5">
        <v>-3.98</v>
      </c>
    </row>
    <row r="6" spans="1:11" ht="14.25" thickBot="1" x14ac:dyDescent="0.45">
      <c r="A6" s="10" t="s">
        <v>5</v>
      </c>
      <c r="B6" s="6">
        <f>(B2-B3+B4-B5)/4</f>
        <v>0.495</v>
      </c>
      <c r="C6" s="6">
        <f t="shared" ref="C6:I6" si="0">(C2-C3+C4-C5)/4</f>
        <v>0.98249999999999993</v>
      </c>
      <c r="D6" s="6">
        <f t="shared" si="0"/>
        <v>1.47</v>
      </c>
      <c r="E6" s="6">
        <f t="shared" si="0"/>
        <v>1.9550000000000001</v>
      </c>
      <c r="F6" s="6">
        <f t="shared" si="0"/>
        <v>2.4450000000000003</v>
      </c>
      <c r="G6" s="6">
        <f t="shared" si="0"/>
        <v>2.9299999999999997</v>
      </c>
      <c r="H6" s="6">
        <f t="shared" si="0"/>
        <v>3.4274999999999998</v>
      </c>
      <c r="I6" s="6">
        <f t="shared" si="0"/>
        <v>3.91</v>
      </c>
    </row>
    <row r="9" spans="1:11" x14ac:dyDescent="0.4">
      <c r="A9" t="s">
        <v>0</v>
      </c>
      <c r="B9">
        <v>300</v>
      </c>
    </row>
    <row r="10" spans="1:11" ht="63" customHeight="1" x14ac:dyDescent="0.4">
      <c r="A10" t="s">
        <v>6</v>
      </c>
      <c r="B10" s="1">
        <v>6.9067796610169487E-3</v>
      </c>
      <c r="C10" s="1" t="s">
        <v>9</v>
      </c>
    </row>
    <row r="11" spans="1:11" x14ac:dyDescent="0.4">
      <c r="A11" t="s">
        <v>23</v>
      </c>
      <c r="B11" s="15">
        <f>SLOPE(B6:I6,B1:I1)</f>
        <v>1.2202380952380951</v>
      </c>
    </row>
    <row r="12" spans="1:11" x14ac:dyDescent="0.4">
      <c r="A12" t="s">
        <v>8</v>
      </c>
      <c r="B12">
        <f>SLOPE(B6:I6,B1:I1)/B10</f>
        <v>176.67250949459537</v>
      </c>
      <c r="C12" t="s">
        <v>10</v>
      </c>
      <c r="D12">
        <f>B12*B14*0.001</f>
        <v>3.5334501898919082E-2</v>
      </c>
    </row>
    <row r="13" spans="1:11" x14ac:dyDescent="0.4">
      <c r="A13" t="s">
        <v>11</v>
      </c>
      <c r="B13">
        <v>177</v>
      </c>
      <c r="C13" t="s">
        <v>12</v>
      </c>
      <c r="D13" s="2">
        <f>1/D12/(1.6E-19)*3/8*PI()</f>
        <v>2.0838295111431363E+20</v>
      </c>
    </row>
    <row r="14" spans="1:11" x14ac:dyDescent="0.4">
      <c r="A14" t="s">
        <v>13</v>
      </c>
      <c r="B14">
        <v>0.2</v>
      </c>
    </row>
    <row r="15" spans="1:11" x14ac:dyDescent="0.4">
      <c r="A15" t="s">
        <v>14</v>
      </c>
      <c r="B15">
        <v>1.5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B5B1-9366-42EE-BBB1-25781C3F5794}">
  <dimension ref="A1:K9"/>
  <sheetViews>
    <sheetView workbookViewId="0">
      <selection activeCell="G20" sqref="G20"/>
    </sheetView>
  </sheetViews>
  <sheetFormatPr defaultRowHeight="13.9" x14ac:dyDescent="0.4"/>
  <cols>
    <col min="1" max="1" width="12.265625" bestFit="1" customWidth="1"/>
    <col min="10" max="10" width="16.73046875" customWidth="1"/>
    <col min="11" max="11" width="12.46484375" bestFit="1" customWidth="1"/>
  </cols>
  <sheetData>
    <row r="1" spans="1:11" ht="14.25" thickBot="1" x14ac:dyDescent="0.45">
      <c r="A1" s="11" t="s">
        <v>7</v>
      </c>
      <c r="B1" s="11">
        <v>0.04</v>
      </c>
      <c r="C1" s="11">
        <v>0.08</v>
      </c>
      <c r="D1" s="11">
        <v>0.12</v>
      </c>
      <c r="E1" s="11">
        <v>0.16</v>
      </c>
      <c r="F1" s="11">
        <v>0.2</v>
      </c>
      <c r="G1" s="11">
        <v>0.24</v>
      </c>
      <c r="H1" s="11">
        <v>0.28000000000000003</v>
      </c>
      <c r="I1" s="11">
        <v>0.32</v>
      </c>
    </row>
    <row r="2" spans="1:11" x14ac:dyDescent="0.4">
      <c r="A2" s="12" t="s">
        <v>15</v>
      </c>
      <c r="B2">
        <v>-30</v>
      </c>
      <c r="C2">
        <v>-64</v>
      </c>
      <c r="D2">
        <v>-90</v>
      </c>
      <c r="E2">
        <v>-124</v>
      </c>
      <c r="F2">
        <v>-151</v>
      </c>
      <c r="G2">
        <v>-184</v>
      </c>
      <c r="H2">
        <v>-214</v>
      </c>
      <c r="I2">
        <v>-244</v>
      </c>
    </row>
    <row r="3" spans="1:11" x14ac:dyDescent="0.4">
      <c r="A3" s="12" t="s">
        <v>16</v>
      </c>
      <c r="B3">
        <v>32</v>
      </c>
      <c r="C3">
        <v>66</v>
      </c>
      <c r="D3">
        <v>92</v>
      </c>
      <c r="E3">
        <v>126</v>
      </c>
      <c r="F3">
        <v>153</v>
      </c>
      <c r="G3">
        <v>186</v>
      </c>
      <c r="H3">
        <v>217</v>
      </c>
      <c r="I3">
        <v>246</v>
      </c>
    </row>
    <row r="4" spans="1:11" x14ac:dyDescent="0.4">
      <c r="A4" s="12" t="s">
        <v>17</v>
      </c>
      <c r="B4">
        <f>(B2-B3)/2</f>
        <v>-31</v>
      </c>
      <c r="C4">
        <f t="shared" ref="C4:I4" si="0">(C2-C3)/2</f>
        <v>-65</v>
      </c>
      <c r="D4">
        <f t="shared" si="0"/>
        <v>-91</v>
      </c>
      <c r="E4">
        <f t="shared" si="0"/>
        <v>-125</v>
      </c>
      <c r="F4">
        <f t="shared" si="0"/>
        <v>-152</v>
      </c>
      <c r="G4">
        <f t="shared" si="0"/>
        <v>-185</v>
      </c>
      <c r="H4">
        <f t="shared" si="0"/>
        <v>-215.5</v>
      </c>
      <c r="I4">
        <f t="shared" si="0"/>
        <v>-245</v>
      </c>
    </row>
    <row r="5" spans="1:11" ht="14.25" thickBot="1" x14ac:dyDescent="0.45">
      <c r="A5" s="13" t="s">
        <v>18</v>
      </c>
      <c r="B5" s="14">
        <f>B1/ABS(B4)/$B$8</f>
        <v>6.4516129032258064E-3</v>
      </c>
      <c r="C5" s="14">
        <f t="shared" ref="C5:I5" si="1">C1/ABS(C4)/$B$8</f>
        <v>6.1538461538461538E-3</v>
      </c>
      <c r="D5" s="14">
        <f t="shared" si="1"/>
        <v>6.5934065934065934E-3</v>
      </c>
      <c r="E5" s="14">
        <f t="shared" si="1"/>
        <v>6.4000000000000003E-3</v>
      </c>
      <c r="F5" s="14">
        <f t="shared" si="1"/>
        <v>6.5789473684210523E-3</v>
      </c>
      <c r="G5" s="14">
        <f t="shared" si="1"/>
        <v>6.4864864864864862E-3</v>
      </c>
      <c r="H5" s="14">
        <f t="shared" si="1"/>
        <v>6.4965197215777265E-3</v>
      </c>
      <c r="I5" s="14">
        <f t="shared" si="1"/>
        <v>6.5306122448979586E-3</v>
      </c>
      <c r="J5" t="s">
        <v>19</v>
      </c>
      <c r="K5" s="2">
        <f>AVERAGE(B5:I5)</f>
        <v>6.4614289339827227E-3</v>
      </c>
    </row>
    <row r="6" spans="1:11" x14ac:dyDescent="0.4">
      <c r="J6" t="s">
        <v>22</v>
      </c>
      <c r="K6" s="3">
        <f>_xlfn.STDEV.S(B5:I5)/SQRT(COUNT(B5:I5))</f>
        <v>4.9344144041612243E-5</v>
      </c>
    </row>
    <row r="8" spans="1:11" x14ac:dyDescent="0.4">
      <c r="A8" t="s">
        <v>13</v>
      </c>
      <c r="B8">
        <v>0.2</v>
      </c>
      <c r="J8" t="s">
        <v>24</v>
      </c>
      <c r="K8" s="2">
        <f>K5*'I_S-U_H关系及n,R_H,K_H计算'!D12</f>
        <v>2.2831137293754321E-4</v>
      </c>
    </row>
    <row r="9" spans="1:11" x14ac:dyDescent="0.4">
      <c r="A9" t="s">
        <v>14</v>
      </c>
      <c r="B9">
        <v>1.5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I_M-B关系</vt:lpstr>
      <vt:lpstr>I_S-U_H关系及n,R_H,K_H计算</vt:lpstr>
      <vt:lpstr>电导率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京恒 刘</dc:creator>
  <cp:keywords/>
  <dc:description/>
  <cp:lastModifiedBy>京恒 刘</cp:lastModifiedBy>
  <cp:revision/>
  <dcterms:created xsi:type="dcterms:W3CDTF">2025-12-23T19:46:59Z</dcterms:created>
  <dcterms:modified xsi:type="dcterms:W3CDTF">2025-12-29T03:05:32Z</dcterms:modified>
  <cp:category/>
  <cp:contentStatus/>
</cp:coreProperties>
</file>